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ohara/Documents/offline_dev/openNCAI/dev/"/>
    </mc:Choice>
  </mc:AlternateContent>
  <xr:revisionPtr revIDLastSave="0" documentId="13_ncr:1_{3253706A-BB59-2C42-AFBE-AED95D457A82}" xr6:coauthVersionLast="47" xr6:coauthVersionMax="47" xr10:uidLastSave="{00000000-0000-0000-0000-000000000000}"/>
  <bookViews>
    <workbookView xWindow="31540" yWindow="-8660" windowWidth="26080" windowHeight="29660" firstSheet="2" activeTab="10" xr2:uid="{7FB4694E-F6E6-E444-8132-EB2F7E9ABCCA}"/>
  </bookViews>
  <sheets>
    <sheet name="Sheet1" sheetId="1" r:id="rId1"/>
    <sheet name="scot_indicator_directory" sheetId="2" r:id="rId2"/>
    <sheet name="orig_scot_cirm1_weights" sheetId="4" r:id="rId3"/>
    <sheet name="scot_ciwm2" sheetId="5" r:id="rId4"/>
    <sheet name="scot_cirm3" sheetId="6" r:id="rId5"/>
    <sheet name="Sheet3" sheetId="3" r:id="rId6"/>
    <sheet name="scot_ci1_stbi" sheetId="7" r:id="rId7"/>
    <sheet name="Sheet10" sheetId="10" r:id="rId8"/>
    <sheet name="scot_ci2_stbi" sheetId="8" r:id="rId9"/>
    <sheet name="scot_ci3_stbi" sheetId="9" r:id="rId10"/>
    <sheet name="scot_year_ci_matrix" sheetId="11" r:id="rId11"/>
  </sheets>
  <externalReferences>
    <externalReference r:id="rId12"/>
  </externalReferences>
  <definedNames>
    <definedName name="_xlnm._FilterDatabase" localSheetId="0" hidden="1">Sheet1!$G$1:$G$104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2" i="6" l="1"/>
  <c r="AA22" i="6"/>
  <c r="Z22" i="6"/>
  <c r="Y22" i="6"/>
  <c r="X22" i="6"/>
  <c r="AB21" i="6"/>
  <c r="AA21" i="6"/>
  <c r="Z21" i="6"/>
  <c r="Y21" i="6"/>
  <c r="X21" i="6"/>
  <c r="AB20" i="6"/>
  <c r="AA20" i="6"/>
  <c r="Z20" i="6"/>
  <c r="Y20" i="6"/>
  <c r="X20" i="6"/>
  <c r="AB19" i="6"/>
  <c r="AA19" i="6"/>
  <c r="Z19" i="6"/>
  <c r="Y19" i="6"/>
  <c r="X19" i="6"/>
  <c r="AB18" i="6"/>
  <c r="AA18" i="6"/>
  <c r="Z18" i="6"/>
  <c r="Y18" i="6"/>
  <c r="X18" i="6"/>
  <c r="AB3" i="5"/>
  <c r="AA3" i="5"/>
  <c r="Z3" i="5"/>
  <c r="Y3" i="5"/>
  <c r="X3" i="5"/>
  <c r="V3" i="5"/>
  <c r="U3" i="5"/>
  <c r="T3" i="5"/>
  <c r="S3" i="5"/>
  <c r="R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AB2" i="5"/>
  <c r="AA2" i="5"/>
  <c r="Z2" i="5"/>
  <c r="Y2" i="5"/>
  <c r="X2" i="5"/>
  <c r="V2" i="5"/>
  <c r="U2" i="5"/>
  <c r="T2" i="5"/>
  <c r="S2" i="5"/>
  <c r="R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AB1" i="5"/>
  <c r="AA1" i="5"/>
  <c r="Z1" i="5"/>
  <c r="Y1" i="5"/>
  <c r="X1" i="5"/>
  <c r="V1" i="5"/>
  <c r="U1" i="5"/>
  <c r="T1" i="5"/>
  <c r="S1" i="5"/>
  <c r="R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X4" i="4"/>
  <c r="V4" i="4"/>
  <c r="S4" i="4"/>
  <c r="N4" i="4"/>
  <c r="M4" i="4"/>
  <c r="J4" i="4"/>
  <c r="I4" i="4"/>
  <c r="H4" i="4"/>
  <c r="G4" i="4"/>
  <c r="F4" i="4"/>
  <c r="E4" i="4"/>
  <c r="D4" i="4"/>
  <c r="C4" i="4"/>
  <c r="B4" i="4"/>
  <c r="X4" i="3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Watkinson</author>
  </authors>
  <commentList>
    <comment ref="D2" authorId="0" shapeId="0" xr:uid="{100668B5-B321-714A-9D46-F137353DF5A8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Could use here? e.g. impact on fish stocks.</t>
        </r>
      </text>
    </comment>
    <comment ref="F2" authorId="0" shapeId="0" xr:uid="{289E9A03-D085-EA4F-BA37-5F2B66919EC5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CES aren't always impacted by eutrophication?</t>
        </r>
      </text>
    </comment>
    <comment ref="A4" authorId="0" shapeId="0" xr:uid="{A5982859-1EBE-DE48-86C1-7D9EEE7C83CF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Combined this with #12 (average of both)</t>
        </r>
      </text>
    </comment>
    <comment ref="E6" authorId="0" shapeId="0" xr:uid="{563D19B3-CC99-1A47-9024-5E09C5B158E4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Valid, but limited, proxy for R&amp;M?</t>
        </r>
      </text>
    </comment>
    <comment ref="E8" authorId="0" shapeId="0" xr:uid="{BC0B92B9-591C-E147-A970-B9C37C154EF6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Valid, but limited, proxy for R&amp;M?</t>
        </r>
      </text>
    </comment>
    <comment ref="D12" authorId="0" shapeId="0" xr:uid="{86D99599-0689-EF44-A144-841F177D38E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No reason why this cannot be a proxy for provisioning and R&amp;M too?</t>
        </r>
      </text>
    </comment>
    <comment ref="A14" authorId="0" shapeId="0" xr:uid="{9DFB9731-A13F-CC49-8570-4EE6C97EABAA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Data no longer available online? I'm not sure this is a good enough indicator.
</t>
        </r>
      </text>
    </comment>
    <comment ref="C18" authorId="0" shapeId="0" xr:uid="{5A22281C-E8EC-8847-BF98-16292FBBC905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Decent proxy for other habitsts too?</t>
        </r>
      </text>
    </comment>
    <comment ref="D18" authorId="0" shapeId="0" xr:uid="{378A3224-886F-3747-8E5E-856CCEC0ED23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 the previous version of the NCAI, this was included as an indicator of provisioning services; JHI suggested that it's more of a R&amp;M indicator!</t>
        </r>
      </text>
    </comment>
    <comment ref="F18" authorId="0" shapeId="0" xr:uid="{12175059-F60D-DB46-8BE8-0EE076C3C885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Imperfect proxy here?</t>
        </r>
      </text>
    </comment>
    <comment ref="C23" authorId="0" shapeId="0" xr:uid="{68A71772-7008-F94E-87E6-16B9570CCD4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Decent proxy for other habitsts too?</t>
        </r>
      </text>
    </comment>
    <comment ref="B28" authorId="0" shapeId="0" xr:uid="{C949B13A-DCB3-DD40-92C9-D4778B205354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Previously called, "Salmon availability to watch/fish: population est from catch"</t>
        </r>
      </text>
    </comment>
    <comment ref="C28" authorId="0" shapeId="0" xr:uid="{BF73783A-649F-1D47-8ABF-28303FDB5532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Probably not a good enough indicator to be used as a proxy for other habitsts</t>
        </r>
      </text>
    </comment>
    <comment ref="D28" authorId="0" shapeId="0" xr:uid="{5E4087BF-8905-FA40-BFC2-0797B5874D7B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Wasn't used as provisioning indicator previously.</t>
        </r>
      </text>
    </comment>
    <comment ref="E28" authorId="0" shapeId="0" xr:uid="{2A4DDD9D-1C8D-5243-9A2F-20F2DC7E8315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As a proxy for water quality, but imperfect.</t>
        </r>
      </text>
    </comment>
    <comment ref="C29" authorId="0" shapeId="0" xr:uid="{C30C7DAD-1B46-B241-8C48-4130E135D4FB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
</t>
        </r>
        <r>
          <rPr>
            <sz val="8"/>
            <color rgb="FF000000"/>
            <rFont val="Tahoma"/>
            <family val="2"/>
          </rPr>
          <t xml:space="preserve">F
</t>
        </r>
        <r>
          <rPr>
            <sz val="8"/>
            <color rgb="FF000000"/>
            <rFont val="Tahoma"/>
            <family val="2"/>
          </rPr>
          <t>K</t>
        </r>
      </text>
    </comment>
    <comment ref="C30" authorId="0" shapeId="0" xr:uid="{42705E52-AA1B-F14F-AAE3-ED0AE46619C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D
F
K</t>
        </r>
      </text>
    </comment>
    <comment ref="E30" authorId="0" shapeId="0" xr:uid="{EF80A36E-1ED7-7B48-891E-EE7728BAB7DA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Valid, but limited, proxy for R&amp;M?</t>
        </r>
      </text>
    </comment>
    <comment ref="D44" authorId="0" shapeId="0" xr:uid="{5353C61B-4005-D54A-9039-6F39572F552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Was only used for R&amp;M previously - no reason it cannot be used for others?</t>
        </r>
      </text>
    </comment>
    <comment ref="F52" authorId="0" shapeId="0" xr:uid="{E9E5C939-68FA-B049-BC0B-4D350BB125B3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Was previously only used as R&amp;M indicator</t>
        </r>
      </text>
    </comment>
    <comment ref="C54" authorId="0" shapeId="0" xr:uid="{AE1167AE-39F9-1243-A940-6D7CF31D81BC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Suitable for 'I' and 'J'?</t>
        </r>
      </text>
    </comment>
    <comment ref="C55" authorId="0" shapeId="0" xr:uid="{6211B934-76EA-944E-855B-235027749283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 and J
</t>
        </r>
      </text>
    </comment>
    <comment ref="C56" authorId="0" shapeId="0" xr:uid="{422A1B8A-69FD-EA43-BEC8-763ED102967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 and J
</t>
        </r>
      </text>
    </comment>
    <comment ref="C57" authorId="0" shapeId="0" xr:uid="{B97890FD-B985-7C42-AD1A-5FCCCD117A73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 and J
</t>
        </r>
      </text>
    </comment>
    <comment ref="C58" authorId="0" shapeId="0" xr:uid="{A0AD199A-56D0-8E42-A328-91F03D9A76CC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 and J
</t>
        </r>
      </text>
    </comment>
    <comment ref="C59" authorId="0" shapeId="0" xr:uid="{54D0A7DF-5455-5647-868F-D0A14FFD83F9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 and J
</t>
        </r>
      </text>
    </comment>
    <comment ref="C60" authorId="0" shapeId="0" xr:uid="{E1728FC1-965F-6849-889F-A0A699E69D64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 and J?</t>
        </r>
      </text>
    </comment>
    <comment ref="B63" authorId="0" shapeId="0" xr:uid="{EDC57D09-334F-0B4B-8B9C-2DCC1686F85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Previously, 'Arable land capability (5-year yield plus soil fertility score)'. Countryside Survey no longer available</t>
        </r>
      </text>
    </comment>
    <comment ref="A64" authorId="0" shapeId="0" xr:uid="{B1F69062-499E-A94B-A68F-5F430095C947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Strictly, land cover? But won't be picked up? Can be seen as proxy for connectivity /diversity</t>
        </r>
      </text>
    </comment>
    <comment ref="B65" authorId="0" shapeId="0" xr:uid="{4BAF655C-8E4B-9F45-A2DC-9E9401A71155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Previous version of the NCAI only considered total amount used.  In this version, we make an adjustment so it it more of a 'fertiliser use per hectare.</t>
        </r>
      </text>
    </comment>
    <comment ref="C65" authorId="0" shapeId="0" xr:uid="{7821968D-7FA5-3E4E-AFC7-C4154C06C3D7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Grassland € and agricultural (I)</t>
        </r>
      </text>
    </comment>
    <comment ref="C67" authorId="0" shapeId="0" xr:uid="{D1A8C075-3D0E-0D40-A363-1F0C526DF8A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How many habitats does this apply to?</t>
        </r>
      </text>
    </comment>
    <comment ref="E67" authorId="0" shapeId="0" xr:uid="{DFF10D37-28E4-D24B-B04E-27AD3021CF05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Valid, but limited, proxy for R&amp;M?</t>
        </r>
      </text>
    </comment>
    <comment ref="F71" authorId="0" shapeId="0" xr:uid="{CDAC2AC7-286D-B044-A1D3-3CA43075CAE7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Initially only used for R&amp;M, but could be cultural indicator too?</t>
        </r>
      </text>
    </comment>
    <comment ref="C72" authorId="0" shapeId="0" xr:uid="{68EB2717-6B78-8D49-8DFF-31E1B051E9C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Found in every terrestial habitat?</t>
        </r>
      </text>
    </comment>
    <comment ref="E72" authorId="0" shapeId="0" xr:uid="{4B27A6B0-1A7E-9D4D-BC73-26AEFC7712CC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 previous version, was also used for R&amp;M - JHI said it is not a good indicator (e.g. not key for pollination).
But arguably very good proxy for condition and other species. See: http://www.ukbms.org/indicators.aspx</t>
        </r>
      </text>
    </comment>
    <comment ref="C79" authorId="0" shapeId="0" xr:uid="{E10EFCB3-9E1C-EE42-A10F-E71E002BB069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Initially used for grassland - JHI questioned this</t>
        </r>
      </text>
    </comment>
    <comment ref="C81" authorId="0" shapeId="0" xr:uid="{BE59A8EB-96B0-B742-AE52-EEF469EE89FC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Initially used for grassland - JHI questioned this</t>
        </r>
      </text>
    </comment>
    <comment ref="E81" authorId="0" shapeId="0" xr:uid="{A46874FF-C33F-5E48-9B88-53C3A009E3A2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 the previous NCAI, this was included as a R&amp;M indicator</t>
        </r>
      </text>
    </comment>
    <comment ref="E82" authorId="0" shapeId="0" xr:uid="{9150AC1B-F4B7-4744-92AA-18D487786295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 previous version, was also used for R&amp;M - JHI questioned whether it's a good indicator (e.g. not key for pollination?)</t>
        </r>
      </text>
    </comment>
    <comment ref="B83" authorId="0" shapeId="0" xr:uid="{5E98F5E3-4E64-7F44-A6F2-BDC4769E9FBC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Note previously called 'Area of hay meadow'</t>
        </r>
      </text>
    </comment>
    <comment ref="C90" authorId="0" shapeId="0" xr:uid="{068FAE7C-5B85-464C-9251-986BCE5915F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Relevant for other habitats?</t>
        </r>
      </text>
    </comment>
    <comment ref="C91" authorId="0" shapeId="0" xr:uid="{7E34249F-CB8E-AE4D-9308-E87700775990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Relevant for other habitats?</t>
        </r>
      </text>
    </comment>
    <comment ref="F93" authorId="0" shapeId="0" xr:uid="{3B13E15C-2C08-3742-9F01-B5CB41F78422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Example of a useful but crude indicator - should have a lower weight.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Watkinson</author>
  </authors>
  <commentList>
    <comment ref="C2" authorId="0" shapeId="0" xr:uid="{451B693D-EACA-524B-9FFD-3E56CF1BF66A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Could use here? e.g. impact on fish stocks.</t>
        </r>
      </text>
    </comment>
    <comment ref="E2" authorId="0" shapeId="0" xr:uid="{C8BDC132-3B80-4141-8B49-AF80C0CD87A6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CES aren't always impacted by eutrophication?</t>
        </r>
      </text>
    </comment>
    <comment ref="A3" authorId="0" shapeId="0" xr:uid="{430A8264-31AC-E146-934A-E414ACB8904F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Combined this with #12 (average of both)</t>
        </r>
      </text>
    </comment>
    <comment ref="D4" authorId="0" shapeId="0" xr:uid="{F8218517-5D27-6F4F-9E60-A79671C46CF5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Valid, but limited, proxy for R&amp;M?</t>
        </r>
      </text>
    </comment>
    <comment ref="D5" authorId="0" shapeId="0" xr:uid="{DA33713D-22A3-8543-A8F1-D5C0381677E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Valid, but limited, proxy for R&amp;M?</t>
        </r>
      </text>
    </comment>
    <comment ref="C8" authorId="0" shapeId="0" xr:uid="{40B77A34-BAFD-384B-84CE-6FEB0A43E168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 the previous version of the NCAI, this was included as an indicator of provisioning services; JHI suggested that it's more of a R&amp;M indicator!</t>
        </r>
      </text>
    </comment>
    <comment ref="E8" authorId="0" shapeId="0" xr:uid="{D3D068BA-2238-1848-B6D7-C35C8C5D3BE9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Imperfect proxy here?</t>
        </r>
      </text>
    </comment>
    <comment ref="B12" authorId="0" shapeId="0" xr:uid="{37CD31D2-0A96-DF4A-A33D-06B71D511B03}">
      <text>
        <r>
          <rPr>
            <b/>
            <sz val="8"/>
            <color rgb="FF000000"/>
            <rFont val="Tahoma"/>
            <family val="2"/>
          </rPr>
          <t>Paul Watkinson: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Previously called, "Salmon availability to watch/fish: population est from catch"</t>
        </r>
      </text>
    </comment>
    <comment ref="C12" authorId="0" shapeId="0" xr:uid="{954EF1CE-3867-574B-BE4C-A064B0D85BE1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Wasn't used as provisioning indicator previously.</t>
        </r>
      </text>
    </comment>
    <comment ref="D12" authorId="0" shapeId="0" xr:uid="{83AE2638-DC3A-1A47-80A6-A5E9AEA60522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As a proxy for water quality, but imperfect.</t>
        </r>
      </text>
    </comment>
    <comment ref="D13" authorId="0" shapeId="0" xr:uid="{FB172907-B6F1-CC48-B2B9-2ED64804C809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Valid, but limited, proxy for R&amp;M?</t>
        </r>
      </text>
    </comment>
    <comment ref="B24" authorId="0" shapeId="0" xr:uid="{0003AEE4-27D0-024B-A1F3-917D1DF16007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Previously, 'Arable land capability (5-year yield plus soil fertility score)'. Countryside Survey no longer available</t>
        </r>
      </text>
    </comment>
    <comment ref="A25" authorId="0" shapeId="0" xr:uid="{28060E48-6ED0-8A4F-9D72-A8E916BF0533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Strictly, land cover? But won't be picked up? Can be seen as proxy for connectivity /diversity</t>
        </r>
      </text>
    </comment>
    <comment ref="B26" authorId="0" shapeId="0" xr:uid="{170AE624-B673-1641-BEDA-BF20E3A525AE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Previous version of the NCAI only considered total amount used.  In this version, we make an adjustment so it it more of a 'fertiliser use per hectare.</t>
        </r>
      </text>
    </comment>
    <comment ref="D28" authorId="0" shapeId="0" xr:uid="{758C4846-71BA-8644-9FA8-589D7BF7EE54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Valid, but limited, proxy for R&amp;M?</t>
        </r>
      </text>
    </comment>
    <comment ref="E29" authorId="0" shapeId="0" xr:uid="{FD4F69BB-042A-1A4B-A04F-29A0BFEB81E5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Initially only used for R&amp;M, but could be cultural indicator too?</t>
        </r>
      </text>
    </comment>
    <comment ref="D30" authorId="0" shapeId="0" xr:uid="{CA560443-3069-754C-A9B7-D27FABA8374E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In previous version, was also used for R&amp;M - JHI said it is not a good indicator (e.g. not key for pollination).
But arguably very good proxy for condition and other species. See: http://www.ukbms.org/indicators.aspx</t>
        </r>
      </text>
    </comment>
    <comment ref="B31" authorId="0" shapeId="0" xr:uid="{29E956AB-B1DD-594B-892A-C33B27B00FFD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Note previously called 'Area of hay meadow'</t>
        </r>
      </text>
    </comment>
    <comment ref="E34" authorId="0" shapeId="0" xr:uid="{8A0EF1D8-6DF2-434A-849B-FCAA9D709A52}">
      <text>
        <r>
          <rPr>
            <b/>
            <sz val="8"/>
            <color indexed="81"/>
            <rFont val="Tahoma"/>
            <family val="2"/>
          </rPr>
          <t>Paul Watkinson:</t>
        </r>
        <r>
          <rPr>
            <sz val="8"/>
            <color indexed="81"/>
            <rFont val="Tahoma"/>
            <family val="2"/>
          </rPr>
          <t xml:space="preserve">
Example of a useful but crude indicator - should have a lower weight.</t>
        </r>
      </text>
    </comment>
  </commentList>
</comments>
</file>

<file path=xl/sharedStrings.xml><?xml version="1.0" encoding="utf-8"?>
<sst xmlns="http://schemas.openxmlformats.org/spreadsheetml/2006/main" count="433" uniqueCount="124">
  <si>
    <t>Timber planting minus harvesting</t>
  </si>
  <si>
    <t>G Woodland etc.</t>
  </si>
  <si>
    <t>No</t>
  </si>
  <si>
    <t>Yes</t>
  </si>
  <si>
    <t>N/A</t>
  </si>
  <si>
    <t>Pollution: orthophosphate at safe level</t>
  </si>
  <si>
    <t>C Inland water</t>
  </si>
  <si>
    <t>Species richness in broadleaf woods</t>
  </si>
  <si>
    <t>Coastal bathing water quality (guideline and mandatory)</t>
  </si>
  <si>
    <t>B Coastal</t>
  </si>
  <si>
    <t>Public desire for less woodland (inverse)</t>
  </si>
  <si>
    <t>Woodland bird index</t>
  </si>
  <si>
    <t>Stock of shellfish for picking (cockle biomass &amp; quality)</t>
  </si>
  <si>
    <t>Wintering waterbird index</t>
  </si>
  <si>
    <t>Non-native Invasive (inverse)</t>
  </si>
  <si>
    <t>MULTIPLE</t>
  </si>
  <si>
    <t>Coastal Site Condition (favourable condition)</t>
  </si>
  <si>
    <t>Erosion (sea level rise)</t>
  </si>
  <si>
    <t>Coastal bathing water quality (mandatory)</t>
  </si>
  <si>
    <t>Coastal birds availability to watch</t>
  </si>
  <si>
    <t>Beach litter count (inverse)</t>
  </si>
  <si>
    <t>MCS beach quality measure</t>
  </si>
  <si>
    <t>Use of marked coastal paths</t>
  </si>
  <si>
    <t>Precipitation (available stock of water)</t>
  </si>
  <si>
    <t>Raw water quality: nitrates in rivers at safe level</t>
  </si>
  <si>
    <t xml:space="preserve">Fen, marsh, swamp species richness </t>
  </si>
  <si>
    <t xml:space="preserve">Streamside species richness </t>
  </si>
  <si>
    <t xml:space="preserve">Pooled headwater plant species richness </t>
  </si>
  <si>
    <t>Raw water abstractions (inverse)</t>
  </si>
  <si>
    <t>River water quality (% unpolluted sites)</t>
  </si>
  <si>
    <t>Freshwater Site Condition (favourable condition)</t>
  </si>
  <si>
    <t>Number of ponds</t>
  </si>
  <si>
    <t>Headwater streams habitat quality assessment (HQA)</t>
  </si>
  <si>
    <t>Otter availability to watch: population</t>
  </si>
  <si>
    <t>Wild salmon and grilse - rod &amp; line</t>
  </si>
  <si>
    <t>Grazing potential (no. moorland ewes &amp; deer for venison)</t>
  </si>
  <si>
    <t>Upland bird index</t>
  </si>
  <si>
    <t>Bracken encroachment (inverse)</t>
  </si>
  <si>
    <t>Heath species richness</t>
  </si>
  <si>
    <t>Heath butterfly food</t>
  </si>
  <si>
    <t>Mires/bogs/fens Site Condition (favourable condition)</t>
  </si>
  <si>
    <t>D Mires/ bogs/ fens</t>
  </si>
  <si>
    <t xml:space="preserve">Bog grass:forb ratio (inverse) </t>
  </si>
  <si>
    <t>Bog moisture score</t>
  </si>
  <si>
    <t>Soil carbon concentration in bogs</t>
  </si>
  <si>
    <t>Birds of prey persecution (inverse)</t>
  </si>
  <si>
    <t>Adult red grouse density</t>
  </si>
  <si>
    <t>F Heathland etc.</t>
  </si>
  <si>
    <t>Deer available for watching/ shooting: no. of deer shot</t>
  </si>
  <si>
    <t>Landscape bracken encroachment (inverse)</t>
  </si>
  <si>
    <t>Landscape impact of windfarms</t>
  </si>
  <si>
    <t>Area of certified forest</t>
  </si>
  <si>
    <t>Tree health (disease outbreaks &amp; aphid pests)</t>
  </si>
  <si>
    <t>Woodland Site Condition (favourable condition)</t>
  </si>
  <si>
    <t>Species richness in conifer woods</t>
  </si>
  <si>
    <t>No. butterfly food species broadleaf target plots</t>
  </si>
  <si>
    <t>Net annual change in carbon in woodlands</t>
  </si>
  <si>
    <t>Landscape impact of harvested woodland (inverse)</t>
  </si>
  <si>
    <t>Proportion of broadleaved woodland</t>
  </si>
  <si>
    <t>Land productivity: garden/allotment food production</t>
  </si>
  <si>
    <t>I Agricultural etc.</t>
  </si>
  <si>
    <t>Urban non-roadside NO2 levels (inverse)</t>
  </si>
  <si>
    <t>J Constructed etc.</t>
  </si>
  <si>
    <t>Area covered by greenspace policies</t>
  </si>
  <si>
    <t>Urban birds</t>
  </si>
  <si>
    <t>Greenspace - place for children to play</t>
  </si>
  <si>
    <t>Greenspace - provides a space to relax</t>
  </si>
  <si>
    <t>Greenspace -attractive green areas</t>
  </si>
  <si>
    <t>Greenspace - a place to see nature</t>
  </si>
  <si>
    <t>Greenspace - 'strongly agree' quality reduced in last five years (inverse)</t>
  </si>
  <si>
    <t>Amount of abandoned greenspace (inverse)</t>
  </si>
  <si>
    <t>Accessibility: visits to urban parks</t>
  </si>
  <si>
    <t>Grazing potential (area of seeded grass under 5 years old)</t>
  </si>
  <si>
    <t>E Grasslands</t>
  </si>
  <si>
    <t>Cereal yield</t>
  </si>
  <si>
    <t>Bare fallow/set-aside area</t>
  </si>
  <si>
    <t>Fertiliser use (inverse)</t>
  </si>
  <si>
    <t>Pesticide use (inverse)</t>
  </si>
  <si>
    <t>Farmland bird index</t>
  </si>
  <si>
    <t>Hedges species richness</t>
  </si>
  <si>
    <t xml:space="preserve">Species richness arable land </t>
  </si>
  <si>
    <t>Species richness improved grass</t>
  </si>
  <si>
    <t>Agri-environment area</t>
  </si>
  <si>
    <t>Butterflies - generalists</t>
  </si>
  <si>
    <t>Mixed farming</t>
  </si>
  <si>
    <t>Soil carbon</t>
  </si>
  <si>
    <t>Hedges in the landscape (total length of hedgrows)</t>
  </si>
  <si>
    <t>Lowland boundary walls in landscape (total wall length)</t>
  </si>
  <si>
    <t>Farm animals: no. livestock in non-LFA (cattle &amp; sheep)</t>
  </si>
  <si>
    <t>Amount of landscape covered in polytunnels (inverse)</t>
  </si>
  <si>
    <t>Grazing potential - total no. Livestock Units in the LFA</t>
  </si>
  <si>
    <t>Level of cattle grazing (total no. in the LFA)</t>
  </si>
  <si>
    <t>Farmland &amp; Upland birds (combined index)</t>
  </si>
  <si>
    <t>Butterflies - specialists</t>
  </si>
  <si>
    <t>Area of grass cut for hay</t>
  </si>
  <si>
    <t>Level of sheep grazing in north west (no. ewes)</t>
  </si>
  <si>
    <t>Neutral grassland species richness</t>
  </si>
  <si>
    <t>Festuca ovina &amp; Galium saxatile in acid grassland</t>
  </si>
  <si>
    <t>Grassland Site Condition (favourable condition)</t>
  </si>
  <si>
    <t>Living landscapes: number of working occupiers in the LFA</t>
  </si>
  <si>
    <t>Neutral grassland species richness target plots</t>
  </si>
  <si>
    <t>Number of livestock units</t>
  </si>
  <si>
    <t>Number of livestock units - inverse</t>
  </si>
  <si>
    <t>Nights spent at tourist accommodation establishments</t>
  </si>
  <si>
    <t>Total number of different bird species counted</t>
  </si>
  <si>
    <t>Emissions of the basket of 7 Kyoto GHGs - inverse</t>
  </si>
  <si>
    <t>Drinking water quality test failures - inverse</t>
  </si>
  <si>
    <t>Radioactive concentrations in milk - inverse</t>
  </si>
  <si>
    <t>Outdoor visits per week (one or more)</t>
  </si>
  <si>
    <t>Visual influence of built development (inverse)</t>
  </si>
  <si>
    <t>Temperate shrub heathland Site Condition (favourable condition)</t>
  </si>
  <si>
    <t>Montane Site Condition (favourable condition)</t>
  </si>
  <si>
    <t>K Montane</t>
  </si>
  <si>
    <t>Bat trends</t>
  </si>
  <si>
    <t>High Nature Value Farming &amp; Forestry</t>
  </si>
  <si>
    <t>Salmon / trout stocks</t>
  </si>
  <si>
    <t>Water Framework Directive - good or better ecological status</t>
  </si>
  <si>
    <t>orig_id</t>
  </si>
  <si>
    <t>description</t>
  </si>
  <si>
    <t>updated</t>
  </si>
  <si>
    <t>used</t>
  </si>
  <si>
    <t>st1_weight</t>
  </si>
  <si>
    <t>st2_weight</t>
  </si>
  <si>
    <t>st3_weight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</si>
</sst>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trike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5" fillId="0" borderId="0" xfId="1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64" fontId="0" fillId="0" borderId="0" xfId="0" applyNumberFormat="1" applyAlignment="1" applyProtection="1">
      <alignment vertical="center"/>
      <protection locked="0"/>
    </xf>
    <xf numFmtId="164" fontId="0" fillId="0" borderId="1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4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ont>
        <strike/>
      </font>
      <fill>
        <patternFill patternType="none">
          <bgColor auto="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strike/>
      </font>
    </dxf>
    <dxf>
      <font>
        <strike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strike/>
      </font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ir-my.sharepoint.com/personal/kao1_stir_ac_uk/Documents/0_forth2o/ncai/papers/FINAL%20Natural%20Capital%20Asset%20Index%202025%20(data%20to%202022).xlsx" TargetMode="External"/><Relationship Id="rId1" Type="http://schemas.openxmlformats.org/officeDocument/2006/relationships/externalLinkPath" Target="https://stir-my.sharepoint.com/personal/kao1_stir_ac_uk/Documents/0_forth2o/ncai/papers/FINAL%20Natural%20Capital%20Asset%20Index%202025%20(data%20to%2020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Overview"/>
      <sheetName val="ES Potential per SPU"/>
      <sheetName val="ES Potential (Weighting)"/>
      <sheetName val="Ecosystem Area"/>
      <sheetName val="Sheet1"/>
      <sheetName val="ES Potential Base"/>
      <sheetName val="Well-being Base"/>
      <sheetName val="Indicator Directory"/>
      <sheetName val="2"/>
      <sheetName val="4"/>
      <sheetName val="6"/>
      <sheetName val="8"/>
      <sheetName val="10"/>
      <sheetName val="16"/>
      <sheetName val="18"/>
      <sheetName val="22"/>
      <sheetName val="23"/>
      <sheetName val="24"/>
      <sheetName val="28"/>
      <sheetName val="30"/>
      <sheetName val="34"/>
      <sheetName val="39"/>
      <sheetName val="43"/>
      <sheetName val="45"/>
      <sheetName val="48"/>
      <sheetName val="54"/>
      <sheetName val="55"/>
      <sheetName val="56"/>
      <sheetName val="57"/>
      <sheetName val="59"/>
      <sheetName val="63"/>
      <sheetName val="64"/>
      <sheetName val="65"/>
      <sheetName val="66"/>
      <sheetName val="67"/>
      <sheetName val="71"/>
      <sheetName val="72"/>
      <sheetName val="83"/>
      <sheetName val="87"/>
      <sheetName val="90"/>
      <sheetName val="93"/>
      <sheetName val="97"/>
      <sheetName val="98"/>
      <sheetName val="99"/>
      <sheetName val="100"/>
      <sheetName val="104"/>
      <sheetName val="a1"/>
      <sheetName val="TEMPLATE"/>
      <sheetName val="GAPS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Final NCAI"/>
      <sheetName val="Total indicator relevances"/>
      <sheetName val="B. Coastal"/>
      <sheetName val="C. Inland water"/>
      <sheetName val="D. Mires, Bogs, Fens"/>
      <sheetName val="E. Grasslands"/>
      <sheetName val="F. Heaths"/>
      <sheetName val="G. Woodlands"/>
      <sheetName val="H. Unvegetated"/>
      <sheetName val="I. Agr and Cult"/>
      <sheetName val="J. Artificial"/>
      <sheetName val="K. Montane"/>
      <sheetName val="Reference"/>
      <sheetName val="Indicator 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N4">
            <v>0.2</v>
          </cell>
          <cell r="O4">
            <v>0.2</v>
          </cell>
          <cell r="P4">
            <v>0.2</v>
          </cell>
        </row>
        <row r="6">
          <cell r="N6">
            <v>1</v>
          </cell>
          <cell r="O6">
            <v>1</v>
          </cell>
          <cell r="P6">
            <v>1</v>
          </cell>
        </row>
        <row r="8">
          <cell r="P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50FB-904B-A846-BA33-F9EB3BDB2A42}">
  <sheetPr filterMode="1"/>
  <dimension ref="A1:H104"/>
  <sheetViews>
    <sheetView topLeftCell="A65" workbookViewId="0">
      <selection activeCell="H104" sqref="A1:H104"/>
    </sheetView>
  </sheetViews>
  <sheetFormatPr baseColWidth="10" defaultRowHeight="16" x14ac:dyDescent="0.2"/>
  <sheetData>
    <row r="1" spans="1:8" ht="45" x14ac:dyDescent="0.2">
      <c r="A1" s="1">
        <v>1</v>
      </c>
      <c r="B1" s="2" t="s">
        <v>0</v>
      </c>
      <c r="C1" s="2" t="s">
        <v>1</v>
      </c>
      <c r="D1" s="2">
        <v>0</v>
      </c>
      <c r="E1" s="2">
        <v>0</v>
      </c>
      <c r="F1" s="2">
        <v>0</v>
      </c>
      <c r="G1" s="1" t="str">
        <f>IF(AND(D1=0,E1=0,F1=0),"No","Yes")</f>
        <v>No</v>
      </c>
      <c r="H1" s="1" t="s">
        <v>4</v>
      </c>
    </row>
    <row r="2" spans="1:8" ht="45" x14ac:dyDescent="0.2">
      <c r="A2" s="1">
        <v>2</v>
      </c>
      <c r="B2" s="2" t="s">
        <v>5</v>
      </c>
      <c r="C2" s="2" t="s">
        <v>6</v>
      </c>
      <c r="D2" s="2">
        <v>0.2</v>
      </c>
      <c r="E2" s="2">
        <v>0.2</v>
      </c>
      <c r="F2" s="2">
        <v>0.2</v>
      </c>
      <c r="G2" s="1" t="str">
        <f t="shared" ref="G2:G65" si="0">IF(AND(D2=0,E2=0,F2=0),"No","Yes")</f>
        <v>Yes</v>
      </c>
      <c r="H2" s="1" t="s">
        <v>3</v>
      </c>
    </row>
    <row r="3" spans="1:8" ht="60" hidden="1" x14ac:dyDescent="0.2">
      <c r="A3" s="1">
        <v>3</v>
      </c>
      <c r="B3" s="2" t="s">
        <v>7</v>
      </c>
      <c r="C3" s="2" t="s">
        <v>1</v>
      </c>
      <c r="D3" s="2">
        <v>0</v>
      </c>
      <c r="E3" s="2">
        <v>0</v>
      </c>
      <c r="F3" s="2">
        <v>0</v>
      </c>
      <c r="G3" s="1" t="str">
        <f t="shared" si="0"/>
        <v>No</v>
      </c>
      <c r="H3" s="1" t="s">
        <v>4</v>
      </c>
    </row>
    <row r="4" spans="1:8" ht="75" x14ac:dyDescent="0.2">
      <c r="A4" s="1">
        <v>4</v>
      </c>
      <c r="B4" s="2" t="s">
        <v>8</v>
      </c>
      <c r="C4" s="2" t="s">
        <v>9</v>
      </c>
      <c r="D4" s="2">
        <v>1</v>
      </c>
      <c r="E4" s="2">
        <v>1</v>
      </c>
      <c r="F4" s="2">
        <v>1</v>
      </c>
      <c r="G4" s="1" t="str">
        <f t="shared" si="0"/>
        <v>Yes</v>
      </c>
      <c r="H4" s="1" t="s">
        <v>2</v>
      </c>
    </row>
    <row r="5" spans="1:8" ht="60" hidden="1" x14ac:dyDescent="0.2">
      <c r="A5" s="1">
        <v>5</v>
      </c>
      <c r="B5" s="2" t="s">
        <v>10</v>
      </c>
      <c r="C5" s="2" t="s">
        <v>1</v>
      </c>
      <c r="D5" s="2">
        <v>0</v>
      </c>
      <c r="E5" s="2">
        <v>0</v>
      </c>
      <c r="F5" s="2">
        <v>0</v>
      </c>
      <c r="G5" s="1" t="str">
        <f t="shared" si="0"/>
        <v>No</v>
      </c>
      <c r="H5" s="1" t="s">
        <v>4</v>
      </c>
    </row>
    <row r="6" spans="1:8" ht="30" x14ac:dyDescent="0.2">
      <c r="A6" s="1">
        <v>6</v>
      </c>
      <c r="B6" s="2" t="s">
        <v>11</v>
      </c>
      <c r="C6" s="2" t="s">
        <v>1</v>
      </c>
      <c r="D6" s="2">
        <v>0</v>
      </c>
      <c r="E6" s="2">
        <v>0.5</v>
      </c>
      <c r="F6" s="2">
        <v>1</v>
      </c>
      <c r="G6" s="1" t="str">
        <f t="shared" si="0"/>
        <v>Yes</v>
      </c>
      <c r="H6" s="1" t="s">
        <v>3</v>
      </c>
    </row>
    <row r="7" spans="1:8" ht="75" hidden="1" x14ac:dyDescent="0.2">
      <c r="A7" s="1">
        <v>7</v>
      </c>
      <c r="B7" s="2" t="s">
        <v>12</v>
      </c>
      <c r="C7" s="2" t="s">
        <v>9</v>
      </c>
      <c r="D7" s="2">
        <v>0</v>
      </c>
      <c r="E7" s="2">
        <v>0</v>
      </c>
      <c r="F7" s="2">
        <v>0</v>
      </c>
      <c r="G7" s="1" t="str">
        <f t="shared" si="0"/>
        <v>No</v>
      </c>
      <c r="H7" s="1" t="s">
        <v>4</v>
      </c>
    </row>
    <row r="8" spans="1:8" ht="45" x14ac:dyDescent="0.2">
      <c r="A8" s="1">
        <v>8</v>
      </c>
      <c r="B8" s="2" t="s">
        <v>13</v>
      </c>
      <c r="C8" s="2" t="s">
        <v>9</v>
      </c>
      <c r="D8" s="2">
        <v>0</v>
      </c>
      <c r="E8" s="2">
        <v>0.5</v>
      </c>
      <c r="F8" s="2">
        <v>1</v>
      </c>
      <c r="G8" s="1" t="str">
        <f t="shared" si="0"/>
        <v>Yes</v>
      </c>
      <c r="H8" s="1" t="s">
        <v>2</v>
      </c>
    </row>
    <row r="9" spans="1:8" ht="45" hidden="1" x14ac:dyDescent="0.2">
      <c r="A9" s="1">
        <v>9</v>
      </c>
      <c r="B9" s="2" t="s">
        <v>14</v>
      </c>
      <c r="C9" s="2" t="s">
        <v>15</v>
      </c>
      <c r="D9" s="2">
        <v>0</v>
      </c>
      <c r="E9" s="2">
        <v>0</v>
      </c>
      <c r="F9" s="2">
        <v>0</v>
      </c>
      <c r="G9" s="1" t="str">
        <f t="shared" si="0"/>
        <v>No</v>
      </c>
      <c r="H9" s="1" t="s">
        <v>4</v>
      </c>
    </row>
    <row r="10" spans="1:8" ht="60" x14ac:dyDescent="0.2">
      <c r="A10" s="1">
        <v>10</v>
      </c>
      <c r="B10" s="2" t="s">
        <v>16</v>
      </c>
      <c r="C10" s="2" t="s">
        <v>9</v>
      </c>
      <c r="D10" s="2">
        <v>0</v>
      </c>
      <c r="E10" s="2">
        <v>1</v>
      </c>
      <c r="F10" s="2">
        <v>1</v>
      </c>
      <c r="G10" s="1" t="str">
        <f t="shared" si="0"/>
        <v>Yes</v>
      </c>
      <c r="H10" s="1" t="s">
        <v>3</v>
      </c>
    </row>
    <row r="11" spans="1:8" ht="30" hidden="1" x14ac:dyDescent="0.2">
      <c r="A11" s="1">
        <v>11</v>
      </c>
      <c r="B11" s="3" t="s">
        <v>17</v>
      </c>
      <c r="C11" s="2" t="s">
        <v>9</v>
      </c>
      <c r="D11" s="2">
        <v>0</v>
      </c>
      <c r="E11" s="2">
        <v>0</v>
      </c>
      <c r="F11" s="2">
        <v>0</v>
      </c>
      <c r="G11" s="1" t="str">
        <f t="shared" si="0"/>
        <v>No</v>
      </c>
      <c r="H11" s="2" t="s">
        <v>4</v>
      </c>
    </row>
    <row r="12" spans="1:8" ht="60" hidden="1" x14ac:dyDescent="0.2">
      <c r="A12" s="1">
        <v>12</v>
      </c>
      <c r="B12" s="2" t="s">
        <v>18</v>
      </c>
      <c r="C12" s="2" t="s">
        <v>9</v>
      </c>
      <c r="D12" s="2">
        <v>0</v>
      </c>
      <c r="E12" s="2">
        <v>0</v>
      </c>
      <c r="F12" s="2">
        <v>0</v>
      </c>
      <c r="G12" s="1" t="str">
        <f t="shared" si="0"/>
        <v>No</v>
      </c>
      <c r="H12" s="1" t="s">
        <v>4</v>
      </c>
    </row>
    <row r="13" spans="1:8" ht="45" hidden="1" x14ac:dyDescent="0.2">
      <c r="A13" s="1">
        <v>13</v>
      </c>
      <c r="B13" s="2" t="s">
        <v>19</v>
      </c>
      <c r="C13" s="2" t="s">
        <v>9</v>
      </c>
      <c r="D13" s="2">
        <v>0</v>
      </c>
      <c r="E13" s="2">
        <v>0</v>
      </c>
      <c r="F13" s="2">
        <v>0</v>
      </c>
      <c r="G13" s="1" t="str">
        <f t="shared" si="0"/>
        <v>No</v>
      </c>
      <c r="H13" s="2" t="s">
        <v>4</v>
      </c>
    </row>
    <row r="14" spans="1:8" ht="45" hidden="1" x14ac:dyDescent="0.2">
      <c r="A14" s="1">
        <v>14</v>
      </c>
      <c r="B14" s="2" t="s">
        <v>20</v>
      </c>
      <c r="C14" s="2" t="s">
        <v>9</v>
      </c>
      <c r="D14" s="2">
        <v>0</v>
      </c>
      <c r="E14" s="2">
        <v>0</v>
      </c>
      <c r="F14" s="2">
        <v>0</v>
      </c>
      <c r="G14" s="1" t="str">
        <f t="shared" si="0"/>
        <v>No</v>
      </c>
      <c r="H14" s="1" t="s">
        <v>4</v>
      </c>
    </row>
    <row r="15" spans="1:8" ht="45" hidden="1" x14ac:dyDescent="0.2">
      <c r="A15" s="1">
        <v>15</v>
      </c>
      <c r="B15" s="2" t="s">
        <v>21</v>
      </c>
      <c r="C15" s="2" t="s">
        <v>9</v>
      </c>
      <c r="D15" s="2">
        <v>0</v>
      </c>
      <c r="E15" s="2">
        <v>0</v>
      </c>
      <c r="F15" s="2">
        <v>0</v>
      </c>
      <c r="G15" s="1" t="str">
        <f t="shared" si="0"/>
        <v>No</v>
      </c>
      <c r="H15" s="1" t="s">
        <v>4</v>
      </c>
    </row>
    <row r="16" spans="1:8" ht="30" x14ac:dyDescent="0.2">
      <c r="A16" s="1">
        <v>16</v>
      </c>
      <c r="B16" s="2" t="s">
        <v>22</v>
      </c>
      <c r="C16" s="2" t="s">
        <v>9</v>
      </c>
      <c r="D16" s="2">
        <v>0</v>
      </c>
      <c r="E16" s="2">
        <v>0</v>
      </c>
      <c r="F16" s="2">
        <v>0.2</v>
      </c>
      <c r="G16" s="1" t="str">
        <f t="shared" si="0"/>
        <v>Yes</v>
      </c>
      <c r="H16" s="1" t="s">
        <v>2</v>
      </c>
    </row>
    <row r="17" spans="1:8" ht="60" hidden="1" x14ac:dyDescent="0.2">
      <c r="A17" s="1">
        <v>17</v>
      </c>
      <c r="B17" s="2" t="s">
        <v>23</v>
      </c>
      <c r="C17" s="2" t="s">
        <v>6</v>
      </c>
      <c r="D17" s="2">
        <v>0</v>
      </c>
      <c r="E17" s="2">
        <v>0</v>
      </c>
      <c r="F17" s="2">
        <v>0</v>
      </c>
      <c r="G17" s="1" t="str">
        <f t="shared" si="0"/>
        <v>No</v>
      </c>
      <c r="H17" s="1" t="s">
        <v>4</v>
      </c>
    </row>
    <row r="18" spans="1:8" ht="75" x14ac:dyDescent="0.2">
      <c r="A18" s="1">
        <v>18</v>
      </c>
      <c r="B18" s="2" t="s">
        <v>24</v>
      </c>
      <c r="C18" s="2" t="s">
        <v>6</v>
      </c>
      <c r="D18" s="2">
        <v>0.5</v>
      </c>
      <c r="E18" s="2">
        <v>0.5</v>
      </c>
      <c r="F18" s="2">
        <v>0.5</v>
      </c>
      <c r="G18" s="1" t="str">
        <f t="shared" si="0"/>
        <v>Yes</v>
      </c>
      <c r="H18" s="1" t="s">
        <v>3</v>
      </c>
    </row>
    <row r="19" spans="1:8" ht="60" hidden="1" x14ac:dyDescent="0.2">
      <c r="A19" s="1">
        <v>19</v>
      </c>
      <c r="B19" s="2" t="s">
        <v>25</v>
      </c>
      <c r="C19" s="2" t="s">
        <v>6</v>
      </c>
      <c r="D19" s="2">
        <v>0</v>
      </c>
      <c r="E19" s="2">
        <v>0</v>
      </c>
      <c r="F19" s="2">
        <v>0</v>
      </c>
      <c r="G19" s="1" t="str">
        <f t="shared" si="0"/>
        <v>No</v>
      </c>
      <c r="H19" s="1" t="s">
        <v>4</v>
      </c>
    </row>
    <row r="20" spans="1:8" ht="45" hidden="1" x14ac:dyDescent="0.2">
      <c r="A20" s="1">
        <v>20</v>
      </c>
      <c r="B20" s="2" t="s">
        <v>26</v>
      </c>
      <c r="C20" s="2" t="s">
        <v>6</v>
      </c>
      <c r="D20" s="2">
        <v>0</v>
      </c>
      <c r="E20" s="2">
        <v>0</v>
      </c>
      <c r="F20" s="2">
        <v>0</v>
      </c>
      <c r="G20" s="1" t="str">
        <f t="shared" si="0"/>
        <v>No</v>
      </c>
      <c r="H20" s="1" t="s">
        <v>4</v>
      </c>
    </row>
    <row r="21" spans="1:8" ht="60" hidden="1" x14ac:dyDescent="0.2">
      <c r="A21" s="1">
        <v>21</v>
      </c>
      <c r="B21" s="2" t="s">
        <v>27</v>
      </c>
      <c r="C21" s="2" t="s">
        <v>6</v>
      </c>
      <c r="D21" s="2">
        <v>0</v>
      </c>
      <c r="E21" s="2">
        <v>0</v>
      </c>
      <c r="F21" s="2">
        <v>0</v>
      </c>
      <c r="G21" s="1" t="str">
        <f t="shared" si="0"/>
        <v>No</v>
      </c>
      <c r="H21" s="1" t="s">
        <v>4</v>
      </c>
    </row>
    <row r="22" spans="1:8" ht="45" x14ac:dyDescent="0.2">
      <c r="A22" s="1">
        <v>22</v>
      </c>
      <c r="B22" s="2" t="s">
        <v>28</v>
      </c>
      <c r="C22" s="2" t="s">
        <v>6</v>
      </c>
      <c r="D22" s="2">
        <v>0.2</v>
      </c>
      <c r="E22" s="2">
        <v>0.2</v>
      </c>
      <c r="F22" s="2">
        <v>0</v>
      </c>
      <c r="G22" s="1" t="str">
        <f t="shared" si="0"/>
        <v>Yes</v>
      </c>
      <c r="H22" s="1" t="s">
        <v>3</v>
      </c>
    </row>
    <row r="23" spans="1:8" ht="60" x14ac:dyDescent="0.2">
      <c r="A23" s="1">
        <v>23</v>
      </c>
      <c r="B23" s="2" t="s">
        <v>29</v>
      </c>
      <c r="C23" s="2" t="s">
        <v>6</v>
      </c>
      <c r="D23" s="2">
        <v>0.5</v>
      </c>
      <c r="E23" s="2">
        <v>0.5</v>
      </c>
      <c r="F23" s="2">
        <v>0.5</v>
      </c>
      <c r="G23" s="1" t="str">
        <f t="shared" si="0"/>
        <v>Yes</v>
      </c>
      <c r="H23" s="1" t="s">
        <v>3</v>
      </c>
    </row>
    <row r="24" spans="1:8" ht="60" x14ac:dyDescent="0.2">
      <c r="A24" s="1">
        <v>24</v>
      </c>
      <c r="B24" s="2" t="s">
        <v>30</v>
      </c>
      <c r="C24" s="2" t="s">
        <v>6</v>
      </c>
      <c r="D24" s="2">
        <v>0</v>
      </c>
      <c r="E24" s="2">
        <v>1</v>
      </c>
      <c r="F24" s="2">
        <v>1</v>
      </c>
      <c r="G24" s="1" t="str">
        <f t="shared" si="0"/>
        <v>Yes</v>
      </c>
      <c r="H24" s="1" t="s">
        <v>3</v>
      </c>
    </row>
    <row r="25" spans="1:8" ht="30" hidden="1" x14ac:dyDescent="0.2">
      <c r="A25" s="1">
        <v>25</v>
      </c>
      <c r="B25" s="2" t="s">
        <v>31</v>
      </c>
      <c r="C25" s="2" t="s">
        <v>6</v>
      </c>
      <c r="D25" s="2">
        <v>0</v>
      </c>
      <c r="E25" s="2">
        <v>0</v>
      </c>
      <c r="F25" s="2">
        <v>0</v>
      </c>
      <c r="G25" s="1" t="str">
        <f t="shared" si="0"/>
        <v>No</v>
      </c>
      <c r="H25" s="1" t="s">
        <v>4</v>
      </c>
    </row>
    <row r="26" spans="1:8" ht="75" hidden="1" x14ac:dyDescent="0.2">
      <c r="A26" s="1">
        <v>26</v>
      </c>
      <c r="B26" s="2" t="s">
        <v>32</v>
      </c>
      <c r="C26" s="2" t="s">
        <v>6</v>
      </c>
      <c r="D26" s="2">
        <v>0</v>
      </c>
      <c r="E26" s="2">
        <v>0</v>
      </c>
      <c r="F26" s="2">
        <v>0</v>
      </c>
      <c r="G26" s="1" t="str">
        <f t="shared" si="0"/>
        <v>No</v>
      </c>
      <c r="H26" s="1" t="s">
        <v>4</v>
      </c>
    </row>
    <row r="27" spans="1:8" ht="60" hidden="1" x14ac:dyDescent="0.2">
      <c r="A27" s="1">
        <v>27</v>
      </c>
      <c r="B27" s="2" t="s">
        <v>33</v>
      </c>
      <c r="C27" s="2" t="s">
        <v>6</v>
      </c>
      <c r="D27" s="2">
        <v>0</v>
      </c>
      <c r="E27" s="2">
        <v>0</v>
      </c>
      <c r="F27" s="2">
        <v>0</v>
      </c>
      <c r="G27" s="1" t="str">
        <f t="shared" si="0"/>
        <v>No</v>
      </c>
      <c r="H27" s="1" t="s">
        <v>4</v>
      </c>
    </row>
    <row r="28" spans="1:8" ht="45" x14ac:dyDescent="0.2">
      <c r="A28" s="1">
        <v>28</v>
      </c>
      <c r="B28" s="2" t="s">
        <v>34</v>
      </c>
      <c r="C28" s="2" t="s">
        <v>6</v>
      </c>
      <c r="D28" s="2">
        <v>0.2</v>
      </c>
      <c r="E28" s="2">
        <v>0</v>
      </c>
      <c r="F28" s="2">
        <v>0.2</v>
      </c>
      <c r="G28" s="1" t="str">
        <f t="shared" si="0"/>
        <v>Yes</v>
      </c>
      <c r="H28" s="1" t="s">
        <v>3</v>
      </c>
    </row>
    <row r="29" spans="1:8" ht="75" hidden="1" x14ac:dyDescent="0.2">
      <c r="A29" s="1">
        <v>29</v>
      </c>
      <c r="B29" s="2" t="s">
        <v>35</v>
      </c>
      <c r="C29" s="2" t="s">
        <v>15</v>
      </c>
      <c r="D29" s="2">
        <v>0</v>
      </c>
      <c r="E29" s="2">
        <v>0</v>
      </c>
      <c r="F29" s="2">
        <v>0</v>
      </c>
      <c r="G29" s="1" t="str">
        <f t="shared" si="0"/>
        <v>No</v>
      </c>
      <c r="H29" s="1" t="s">
        <v>4</v>
      </c>
    </row>
    <row r="30" spans="1:8" ht="30" x14ac:dyDescent="0.2">
      <c r="A30" s="1">
        <v>30</v>
      </c>
      <c r="B30" s="2" t="s">
        <v>36</v>
      </c>
      <c r="C30" s="2" t="s">
        <v>15</v>
      </c>
      <c r="D30" s="2">
        <v>0</v>
      </c>
      <c r="E30" s="2">
        <v>0.5</v>
      </c>
      <c r="F30" s="2">
        <v>1</v>
      </c>
      <c r="G30" s="1" t="str">
        <f t="shared" si="0"/>
        <v>Yes</v>
      </c>
      <c r="H30" s="1" t="s">
        <v>3</v>
      </c>
    </row>
    <row r="31" spans="1:8" ht="45" hidden="1" x14ac:dyDescent="0.2">
      <c r="A31" s="1">
        <v>31</v>
      </c>
      <c r="B31" s="2" t="s">
        <v>37</v>
      </c>
      <c r="C31" s="2" t="s">
        <v>15</v>
      </c>
      <c r="D31" s="2">
        <v>0</v>
      </c>
      <c r="E31" s="2">
        <v>0</v>
      </c>
      <c r="F31" s="2">
        <v>0</v>
      </c>
      <c r="G31" s="1" t="str">
        <f t="shared" si="0"/>
        <v>No</v>
      </c>
      <c r="H31" s="1" t="s">
        <v>4</v>
      </c>
    </row>
    <row r="32" spans="1:8" ht="30" hidden="1" x14ac:dyDescent="0.2">
      <c r="A32" s="1">
        <v>32</v>
      </c>
      <c r="B32" s="2" t="s">
        <v>38</v>
      </c>
      <c r="C32" s="2" t="s">
        <v>15</v>
      </c>
      <c r="D32" s="2">
        <v>0</v>
      </c>
      <c r="E32" s="2">
        <v>0</v>
      </c>
      <c r="F32" s="2">
        <v>0</v>
      </c>
      <c r="G32" s="1" t="str">
        <f t="shared" si="0"/>
        <v>No</v>
      </c>
      <c r="H32" s="1" t="s">
        <v>4</v>
      </c>
    </row>
    <row r="33" spans="1:8" ht="30" hidden="1" x14ac:dyDescent="0.2">
      <c r="A33" s="1">
        <v>33</v>
      </c>
      <c r="B33" s="2" t="s">
        <v>39</v>
      </c>
      <c r="C33" s="2" t="s">
        <v>15</v>
      </c>
      <c r="D33" s="2">
        <v>0</v>
      </c>
      <c r="E33" s="2">
        <v>0</v>
      </c>
      <c r="F33" s="2">
        <v>0</v>
      </c>
      <c r="G33" s="1" t="str">
        <f t="shared" si="0"/>
        <v>No</v>
      </c>
      <c r="H33" s="1" t="s">
        <v>4</v>
      </c>
    </row>
    <row r="34" spans="1:8" ht="75" x14ac:dyDescent="0.2">
      <c r="A34" s="1">
        <v>34</v>
      </c>
      <c r="B34" s="2" t="s">
        <v>40</v>
      </c>
      <c r="C34" s="2" t="s">
        <v>41</v>
      </c>
      <c r="D34" s="2">
        <v>0</v>
      </c>
      <c r="E34" s="2">
        <v>1</v>
      </c>
      <c r="F34" s="2">
        <v>1</v>
      </c>
      <c r="G34" s="1" t="str">
        <f t="shared" si="0"/>
        <v>Yes</v>
      </c>
      <c r="H34" s="1" t="s">
        <v>3</v>
      </c>
    </row>
    <row r="35" spans="1:8" ht="30" hidden="1" x14ac:dyDescent="0.2">
      <c r="A35" s="1">
        <v>35</v>
      </c>
      <c r="B35" s="2" t="s">
        <v>42</v>
      </c>
      <c r="C35" s="2" t="s">
        <v>15</v>
      </c>
      <c r="D35" s="2">
        <v>0</v>
      </c>
      <c r="E35" s="2">
        <v>0</v>
      </c>
      <c r="F35" s="2">
        <v>0</v>
      </c>
      <c r="G35" s="1" t="str">
        <f t="shared" si="0"/>
        <v>No</v>
      </c>
      <c r="H35" s="1" t="s">
        <v>4</v>
      </c>
    </row>
    <row r="36" spans="1:8" ht="30" hidden="1" x14ac:dyDescent="0.2">
      <c r="A36" s="1">
        <v>36</v>
      </c>
      <c r="B36" s="2" t="s">
        <v>43</v>
      </c>
      <c r="C36" s="2" t="s">
        <v>15</v>
      </c>
      <c r="D36" s="2">
        <v>0</v>
      </c>
      <c r="E36" s="2">
        <v>0</v>
      </c>
      <c r="F36" s="2">
        <v>0</v>
      </c>
      <c r="G36" s="1" t="str">
        <f t="shared" si="0"/>
        <v>No</v>
      </c>
      <c r="H36" s="1" t="s">
        <v>4</v>
      </c>
    </row>
    <row r="37" spans="1:8" ht="45" hidden="1" x14ac:dyDescent="0.2">
      <c r="A37" s="1">
        <v>37</v>
      </c>
      <c r="B37" s="2" t="s">
        <v>44</v>
      </c>
      <c r="C37" s="2" t="s">
        <v>15</v>
      </c>
      <c r="D37" s="2">
        <v>0</v>
      </c>
      <c r="E37" s="2">
        <v>0</v>
      </c>
      <c r="F37" s="2">
        <v>0</v>
      </c>
      <c r="G37" s="1" t="str">
        <f t="shared" si="0"/>
        <v>No</v>
      </c>
      <c r="H37" s="1" t="s">
        <v>4</v>
      </c>
    </row>
    <row r="38" spans="1:8" ht="45" hidden="1" x14ac:dyDescent="0.2">
      <c r="A38" s="1">
        <v>38</v>
      </c>
      <c r="B38" s="2" t="s">
        <v>45</v>
      </c>
      <c r="C38" s="2" t="s">
        <v>15</v>
      </c>
      <c r="D38" s="2">
        <v>0</v>
      </c>
      <c r="E38" s="2">
        <v>0</v>
      </c>
      <c r="F38" s="2">
        <v>0</v>
      </c>
      <c r="G38" s="1" t="str">
        <f t="shared" si="0"/>
        <v>No</v>
      </c>
      <c r="H38" s="1" t="s">
        <v>4</v>
      </c>
    </row>
    <row r="39" spans="1:8" ht="30" x14ac:dyDescent="0.2">
      <c r="A39" s="1">
        <v>39</v>
      </c>
      <c r="B39" s="2" t="s">
        <v>46</v>
      </c>
      <c r="C39" s="2" t="s">
        <v>47</v>
      </c>
      <c r="D39" s="2">
        <v>0.2</v>
      </c>
      <c r="E39" s="2">
        <v>0</v>
      </c>
      <c r="F39" s="2">
        <v>0.2</v>
      </c>
      <c r="G39" s="1" t="str">
        <f t="shared" si="0"/>
        <v>Yes</v>
      </c>
      <c r="H39" s="1" t="s">
        <v>2</v>
      </c>
    </row>
    <row r="40" spans="1:8" ht="60" hidden="1" x14ac:dyDescent="0.2">
      <c r="A40" s="1">
        <v>40</v>
      </c>
      <c r="B40" s="2" t="s">
        <v>48</v>
      </c>
      <c r="C40" s="2" t="s">
        <v>15</v>
      </c>
      <c r="D40" s="2">
        <v>0</v>
      </c>
      <c r="E40" s="2">
        <v>0</v>
      </c>
      <c r="F40" s="2">
        <v>0</v>
      </c>
      <c r="G40" s="1" t="str">
        <f t="shared" si="0"/>
        <v>No</v>
      </c>
      <c r="H40" s="1" t="s">
        <v>4</v>
      </c>
    </row>
    <row r="41" spans="1:8" ht="60" hidden="1" x14ac:dyDescent="0.2">
      <c r="A41" s="1">
        <v>41</v>
      </c>
      <c r="B41" s="2" t="s">
        <v>49</v>
      </c>
      <c r="C41" s="2" t="s">
        <v>15</v>
      </c>
      <c r="D41" s="2">
        <v>0</v>
      </c>
      <c r="E41" s="2">
        <v>0</v>
      </c>
      <c r="F41" s="2">
        <v>0</v>
      </c>
      <c r="G41" s="1" t="str">
        <f t="shared" si="0"/>
        <v>No</v>
      </c>
      <c r="H41" s="1" t="s">
        <v>4</v>
      </c>
    </row>
    <row r="42" spans="1:8" ht="45" hidden="1" x14ac:dyDescent="0.2">
      <c r="A42" s="1">
        <v>42</v>
      </c>
      <c r="B42" s="2" t="s">
        <v>50</v>
      </c>
      <c r="C42" s="2" t="s">
        <v>15</v>
      </c>
      <c r="D42" s="2">
        <v>0</v>
      </c>
      <c r="E42" s="2">
        <v>0</v>
      </c>
      <c r="F42" s="2">
        <v>0</v>
      </c>
      <c r="G42" s="1" t="str">
        <f t="shared" si="0"/>
        <v>No</v>
      </c>
      <c r="H42" s="1" t="s">
        <v>4</v>
      </c>
    </row>
    <row r="43" spans="1:8" ht="30" x14ac:dyDescent="0.2">
      <c r="A43" s="1">
        <v>43</v>
      </c>
      <c r="B43" s="2" t="s">
        <v>51</v>
      </c>
      <c r="C43" s="2" t="s">
        <v>1</v>
      </c>
      <c r="D43" s="2">
        <v>0</v>
      </c>
      <c r="E43" s="2">
        <v>0.5</v>
      </c>
      <c r="F43" s="2">
        <v>0.5</v>
      </c>
      <c r="G43" s="1" t="str">
        <f t="shared" si="0"/>
        <v>Yes</v>
      </c>
      <c r="H43" s="1" t="s">
        <v>3</v>
      </c>
    </row>
    <row r="44" spans="1:8" ht="60" hidden="1" x14ac:dyDescent="0.2">
      <c r="A44" s="1">
        <v>44</v>
      </c>
      <c r="B44" s="2" t="s">
        <v>52</v>
      </c>
      <c r="C44" s="2" t="s">
        <v>1</v>
      </c>
      <c r="D44" s="2">
        <v>0</v>
      </c>
      <c r="E44" s="2">
        <v>0</v>
      </c>
      <c r="F44" s="2">
        <v>0</v>
      </c>
      <c r="G44" s="1" t="str">
        <f t="shared" si="0"/>
        <v>No</v>
      </c>
      <c r="H44" s="1" t="s">
        <v>4</v>
      </c>
    </row>
    <row r="45" spans="1:8" ht="60" x14ac:dyDescent="0.2">
      <c r="A45" s="1">
        <v>45</v>
      </c>
      <c r="B45" s="2" t="s">
        <v>53</v>
      </c>
      <c r="C45" s="2" t="s">
        <v>1</v>
      </c>
      <c r="D45" s="2">
        <v>0</v>
      </c>
      <c r="E45" s="2">
        <v>1</v>
      </c>
      <c r="F45" s="2">
        <v>1</v>
      </c>
      <c r="G45" s="1" t="str">
        <f t="shared" si="0"/>
        <v>Yes</v>
      </c>
      <c r="H45" s="1" t="s">
        <v>3</v>
      </c>
    </row>
    <row r="46" spans="1:8" ht="45" hidden="1" x14ac:dyDescent="0.2">
      <c r="A46" s="1">
        <v>46</v>
      </c>
      <c r="B46" s="2" t="s">
        <v>54</v>
      </c>
      <c r="C46" s="2" t="s">
        <v>1</v>
      </c>
      <c r="D46" s="2">
        <v>0</v>
      </c>
      <c r="E46" s="2">
        <v>0</v>
      </c>
      <c r="F46" s="2">
        <v>0</v>
      </c>
      <c r="G46" s="1" t="str">
        <f t="shared" si="0"/>
        <v>No</v>
      </c>
      <c r="H46" s="1" t="s">
        <v>4</v>
      </c>
    </row>
    <row r="47" spans="1:8" ht="60" hidden="1" x14ac:dyDescent="0.2">
      <c r="A47" s="1">
        <v>47</v>
      </c>
      <c r="B47" s="2" t="s">
        <v>55</v>
      </c>
      <c r="C47" s="2" t="s">
        <v>1</v>
      </c>
      <c r="D47" s="2">
        <v>0</v>
      </c>
      <c r="E47" s="2">
        <v>0</v>
      </c>
      <c r="F47" s="2">
        <v>0</v>
      </c>
      <c r="G47" s="1" t="str">
        <f t="shared" si="0"/>
        <v>No</v>
      </c>
      <c r="H47" s="1" t="s">
        <v>4</v>
      </c>
    </row>
    <row r="48" spans="1:8" ht="60" x14ac:dyDescent="0.2">
      <c r="A48" s="1">
        <v>48</v>
      </c>
      <c r="B48" s="2" t="s">
        <v>56</v>
      </c>
      <c r="C48" s="2" t="s">
        <v>1</v>
      </c>
      <c r="D48" s="2">
        <v>0</v>
      </c>
      <c r="E48" s="2">
        <v>1</v>
      </c>
      <c r="F48" s="2">
        <v>0</v>
      </c>
      <c r="G48" s="1" t="str">
        <f t="shared" si="0"/>
        <v>Yes</v>
      </c>
      <c r="H48" s="1" t="s">
        <v>3</v>
      </c>
    </row>
    <row r="49" spans="1:8" ht="75" hidden="1" x14ac:dyDescent="0.2">
      <c r="A49" s="1">
        <v>49</v>
      </c>
      <c r="B49" s="2" t="s">
        <v>57</v>
      </c>
      <c r="C49" s="2" t="s">
        <v>1</v>
      </c>
      <c r="D49" s="2">
        <v>0</v>
      </c>
      <c r="E49" s="2">
        <v>0</v>
      </c>
      <c r="F49" s="2">
        <v>0</v>
      </c>
      <c r="G49" s="1" t="str">
        <f t="shared" si="0"/>
        <v>No</v>
      </c>
      <c r="H49" s="1" t="s">
        <v>4</v>
      </c>
    </row>
    <row r="50" spans="1:8" ht="45" hidden="1" x14ac:dyDescent="0.2">
      <c r="A50" s="1">
        <v>50</v>
      </c>
      <c r="B50" s="2" t="s">
        <v>58</v>
      </c>
      <c r="C50" s="2" t="s">
        <v>1</v>
      </c>
      <c r="D50" s="2">
        <v>0</v>
      </c>
      <c r="E50" s="2">
        <v>0</v>
      </c>
      <c r="F50" s="2">
        <v>0</v>
      </c>
      <c r="G50" s="1" t="str">
        <f t="shared" si="0"/>
        <v>No</v>
      </c>
      <c r="H50" s="1" t="s">
        <v>4</v>
      </c>
    </row>
    <row r="51" spans="1:8" ht="75" hidden="1" x14ac:dyDescent="0.2">
      <c r="A51" s="1">
        <v>51</v>
      </c>
      <c r="B51" s="2" t="s">
        <v>59</v>
      </c>
      <c r="C51" s="2" t="s">
        <v>60</v>
      </c>
      <c r="D51" s="2">
        <v>0</v>
      </c>
      <c r="E51" s="2">
        <v>0</v>
      </c>
      <c r="F51" s="2">
        <v>0</v>
      </c>
      <c r="G51" s="1" t="str">
        <f t="shared" si="0"/>
        <v>No</v>
      </c>
      <c r="H51" s="1" t="s">
        <v>4</v>
      </c>
    </row>
    <row r="52" spans="1:8" ht="45" hidden="1" x14ac:dyDescent="0.2">
      <c r="A52" s="1">
        <v>52</v>
      </c>
      <c r="B52" s="2" t="s">
        <v>61</v>
      </c>
      <c r="C52" s="2" t="s">
        <v>62</v>
      </c>
      <c r="D52" s="2">
        <v>0</v>
      </c>
      <c r="E52" s="2">
        <v>0</v>
      </c>
      <c r="F52" s="2">
        <v>0</v>
      </c>
      <c r="G52" s="1" t="str">
        <f t="shared" si="0"/>
        <v>No</v>
      </c>
      <c r="H52" s="1" t="s">
        <v>4</v>
      </c>
    </row>
    <row r="53" spans="1:8" ht="45" hidden="1" x14ac:dyDescent="0.2">
      <c r="A53" s="1">
        <v>53</v>
      </c>
      <c r="B53" s="2" t="s">
        <v>63</v>
      </c>
      <c r="C53" s="2" t="s">
        <v>15</v>
      </c>
      <c r="D53" s="2">
        <v>0</v>
      </c>
      <c r="E53" s="2">
        <v>0</v>
      </c>
      <c r="F53" s="2">
        <v>0</v>
      </c>
      <c r="G53" s="1" t="str">
        <f t="shared" si="0"/>
        <v>No</v>
      </c>
      <c r="H53" s="1" t="s">
        <v>4</v>
      </c>
    </row>
    <row r="54" spans="1:8" x14ac:dyDescent="0.2">
      <c r="A54" s="1">
        <v>54</v>
      </c>
      <c r="B54" s="2" t="s">
        <v>64</v>
      </c>
      <c r="C54" s="2" t="s">
        <v>15</v>
      </c>
      <c r="D54" s="2">
        <v>0</v>
      </c>
      <c r="E54" s="2">
        <v>0.5</v>
      </c>
      <c r="F54" s="2">
        <v>1</v>
      </c>
      <c r="G54" s="1" t="str">
        <f t="shared" si="0"/>
        <v>Yes</v>
      </c>
      <c r="H54" s="1" t="s">
        <v>3</v>
      </c>
    </row>
    <row r="55" spans="1:8" ht="60" x14ac:dyDescent="0.2">
      <c r="A55" s="1">
        <v>55</v>
      </c>
      <c r="B55" s="2" t="s">
        <v>65</v>
      </c>
      <c r="C55" s="2" t="s">
        <v>15</v>
      </c>
      <c r="D55" s="2">
        <v>0</v>
      </c>
      <c r="E55" s="2">
        <v>0</v>
      </c>
      <c r="F55" s="2">
        <v>0.5</v>
      </c>
      <c r="G55" s="1" t="str">
        <f t="shared" si="0"/>
        <v>Yes</v>
      </c>
      <c r="H55" s="1" t="s">
        <v>2</v>
      </c>
    </row>
    <row r="56" spans="1:8" ht="45" x14ac:dyDescent="0.2">
      <c r="A56" s="1">
        <v>56</v>
      </c>
      <c r="B56" s="2" t="s">
        <v>66</v>
      </c>
      <c r="C56" s="2" t="s">
        <v>15</v>
      </c>
      <c r="D56" s="2">
        <v>0</v>
      </c>
      <c r="E56" s="2">
        <v>0</v>
      </c>
      <c r="F56" s="4">
        <v>0.5</v>
      </c>
      <c r="G56" s="1" t="str">
        <f t="shared" si="0"/>
        <v>Yes</v>
      </c>
      <c r="H56" s="1" t="s">
        <v>2</v>
      </c>
    </row>
    <row r="57" spans="1:8" ht="45" x14ac:dyDescent="0.2">
      <c r="A57" s="1">
        <v>57</v>
      </c>
      <c r="B57" s="2" t="s">
        <v>67</v>
      </c>
      <c r="C57" s="2" t="s">
        <v>15</v>
      </c>
      <c r="D57" s="2">
        <v>0</v>
      </c>
      <c r="E57" s="2">
        <v>0</v>
      </c>
      <c r="F57" s="4">
        <v>0.5</v>
      </c>
      <c r="G57" s="1" t="str">
        <f t="shared" si="0"/>
        <v>Yes</v>
      </c>
      <c r="H57" s="1" t="s">
        <v>2</v>
      </c>
    </row>
    <row r="58" spans="1:8" ht="45" hidden="1" x14ac:dyDescent="0.2">
      <c r="A58" s="1">
        <v>58</v>
      </c>
      <c r="B58" s="2" t="s">
        <v>68</v>
      </c>
      <c r="C58" s="2" t="s">
        <v>15</v>
      </c>
      <c r="D58" s="2">
        <v>0</v>
      </c>
      <c r="E58" s="2">
        <v>0</v>
      </c>
      <c r="F58" s="2">
        <v>0</v>
      </c>
      <c r="G58" s="1" t="str">
        <f t="shared" si="0"/>
        <v>No</v>
      </c>
      <c r="H58" s="1" t="s">
        <v>4</v>
      </c>
    </row>
    <row r="59" spans="1:8" ht="60" x14ac:dyDescent="0.2">
      <c r="A59" s="1">
        <v>59</v>
      </c>
      <c r="B59" s="5" t="s">
        <v>69</v>
      </c>
      <c r="C59" s="2" t="s">
        <v>15</v>
      </c>
      <c r="D59" s="2">
        <v>0</v>
      </c>
      <c r="E59" s="2">
        <v>0</v>
      </c>
      <c r="F59" s="4">
        <v>0.5</v>
      </c>
      <c r="G59" s="1" t="str">
        <f t="shared" si="0"/>
        <v>Yes</v>
      </c>
      <c r="H59" s="1" t="s">
        <v>2</v>
      </c>
    </row>
    <row r="60" spans="1:8" ht="60" hidden="1" x14ac:dyDescent="0.2">
      <c r="A60" s="1">
        <v>60</v>
      </c>
      <c r="B60" s="2" t="s">
        <v>70</v>
      </c>
      <c r="C60" s="2" t="s">
        <v>15</v>
      </c>
      <c r="D60" s="2">
        <v>0</v>
      </c>
      <c r="E60" s="2">
        <v>0</v>
      </c>
      <c r="F60" s="2">
        <v>0</v>
      </c>
      <c r="G60" s="1" t="str">
        <f t="shared" si="0"/>
        <v>No</v>
      </c>
      <c r="H60" s="1" t="s">
        <v>4</v>
      </c>
    </row>
    <row r="61" spans="1:8" ht="45" hidden="1" x14ac:dyDescent="0.2">
      <c r="A61" s="1">
        <v>61</v>
      </c>
      <c r="B61" s="2" t="s">
        <v>71</v>
      </c>
      <c r="C61" s="2" t="s">
        <v>15</v>
      </c>
      <c r="D61" s="2">
        <v>0</v>
      </c>
      <c r="E61" s="2">
        <v>0</v>
      </c>
      <c r="F61" s="2">
        <v>0</v>
      </c>
      <c r="G61" s="1" t="str">
        <f t="shared" si="0"/>
        <v>No</v>
      </c>
      <c r="H61" s="1" t="s">
        <v>4</v>
      </c>
    </row>
    <row r="62" spans="1:8" ht="75" hidden="1" x14ac:dyDescent="0.2">
      <c r="A62" s="1">
        <v>62</v>
      </c>
      <c r="B62" s="2" t="s">
        <v>72</v>
      </c>
      <c r="C62" s="2" t="s">
        <v>73</v>
      </c>
      <c r="D62" s="2">
        <v>0</v>
      </c>
      <c r="E62" s="2">
        <v>0</v>
      </c>
      <c r="F62" s="2">
        <v>0</v>
      </c>
      <c r="G62" s="1" t="str">
        <f t="shared" si="0"/>
        <v>No</v>
      </c>
      <c r="H62" s="1" t="s">
        <v>4</v>
      </c>
    </row>
    <row r="63" spans="1:8" ht="30" x14ac:dyDescent="0.2">
      <c r="A63" s="1">
        <v>63</v>
      </c>
      <c r="B63" s="2" t="s">
        <v>74</v>
      </c>
      <c r="C63" s="2" t="s">
        <v>60</v>
      </c>
      <c r="D63" s="2">
        <v>0.5</v>
      </c>
      <c r="E63" s="2">
        <v>0</v>
      </c>
      <c r="F63" s="2">
        <v>0</v>
      </c>
      <c r="G63" s="1" t="str">
        <f t="shared" si="0"/>
        <v>Yes</v>
      </c>
      <c r="H63" s="1" t="s">
        <v>3</v>
      </c>
    </row>
    <row r="64" spans="1:8" ht="45" x14ac:dyDescent="0.2">
      <c r="A64" s="1">
        <v>64</v>
      </c>
      <c r="B64" s="2" t="s">
        <v>75</v>
      </c>
      <c r="C64" s="2" t="s">
        <v>60</v>
      </c>
      <c r="D64" s="2">
        <v>0</v>
      </c>
      <c r="E64" s="2">
        <v>0.2</v>
      </c>
      <c r="F64" s="2">
        <v>0</v>
      </c>
      <c r="G64" s="1" t="str">
        <f t="shared" si="0"/>
        <v>Yes</v>
      </c>
      <c r="H64" s="1" t="s">
        <v>3</v>
      </c>
    </row>
    <row r="65" spans="1:8" ht="30" x14ac:dyDescent="0.2">
      <c r="A65" s="1">
        <v>65</v>
      </c>
      <c r="B65" s="2" t="s">
        <v>76</v>
      </c>
      <c r="C65" s="2" t="s">
        <v>15</v>
      </c>
      <c r="D65" s="2">
        <v>0.5</v>
      </c>
      <c r="E65" s="2">
        <v>0.5</v>
      </c>
      <c r="F65" s="2">
        <v>0</v>
      </c>
      <c r="G65" s="1" t="str">
        <f t="shared" si="0"/>
        <v>Yes</v>
      </c>
      <c r="H65" s="1" t="s">
        <v>3</v>
      </c>
    </row>
    <row r="66" spans="1:8" ht="30" x14ac:dyDescent="0.2">
      <c r="A66" s="1">
        <v>66</v>
      </c>
      <c r="B66" s="2" t="s">
        <v>77</v>
      </c>
      <c r="C66" s="2" t="s">
        <v>60</v>
      </c>
      <c r="D66" s="2">
        <v>0.5</v>
      </c>
      <c r="E66" s="2">
        <v>0.5</v>
      </c>
      <c r="F66" s="2">
        <v>0</v>
      </c>
      <c r="G66" s="1" t="str">
        <f t="shared" ref="G66:G104" si="1">IF(AND(D66=0,E66=0,F66=0),"No","Yes")</f>
        <v>Yes</v>
      </c>
      <c r="H66" s="1" t="s">
        <v>2</v>
      </c>
    </row>
    <row r="67" spans="1:8" ht="30" x14ac:dyDescent="0.2">
      <c r="A67" s="1">
        <v>67</v>
      </c>
      <c r="B67" s="2" t="s">
        <v>78</v>
      </c>
      <c r="C67" s="2" t="s">
        <v>15</v>
      </c>
      <c r="D67" s="2">
        <v>0</v>
      </c>
      <c r="E67" s="2">
        <v>0.5</v>
      </c>
      <c r="F67" s="2">
        <v>1</v>
      </c>
      <c r="G67" s="1" t="str">
        <f t="shared" si="1"/>
        <v>Yes</v>
      </c>
      <c r="H67" s="1" t="s">
        <v>3</v>
      </c>
    </row>
    <row r="68" spans="1:8" ht="45" hidden="1" x14ac:dyDescent="0.2">
      <c r="A68" s="1">
        <v>68</v>
      </c>
      <c r="B68" s="2" t="s">
        <v>79</v>
      </c>
      <c r="C68" s="2" t="s">
        <v>60</v>
      </c>
      <c r="D68" s="2">
        <v>0</v>
      </c>
      <c r="E68" s="2">
        <v>0</v>
      </c>
      <c r="F68" s="2">
        <v>0</v>
      </c>
      <c r="G68" s="1" t="str">
        <f t="shared" si="1"/>
        <v>No</v>
      </c>
      <c r="H68" s="1" t="s">
        <v>4</v>
      </c>
    </row>
    <row r="69" spans="1:8" ht="45" hidden="1" x14ac:dyDescent="0.2">
      <c r="A69" s="1">
        <v>69</v>
      </c>
      <c r="B69" s="2" t="s">
        <v>80</v>
      </c>
      <c r="C69" s="2" t="s">
        <v>60</v>
      </c>
      <c r="D69" s="2">
        <v>0</v>
      </c>
      <c r="E69" s="2">
        <v>0</v>
      </c>
      <c r="F69" s="2">
        <v>0</v>
      </c>
      <c r="G69" s="1" t="str">
        <f t="shared" si="1"/>
        <v>No</v>
      </c>
      <c r="H69" s="1" t="s">
        <v>4</v>
      </c>
    </row>
    <row r="70" spans="1:8" ht="60" hidden="1" x14ac:dyDescent="0.2">
      <c r="A70" s="1">
        <v>70</v>
      </c>
      <c r="B70" s="2" t="s">
        <v>81</v>
      </c>
      <c r="C70" s="2" t="s">
        <v>15</v>
      </c>
      <c r="D70" s="2">
        <v>0</v>
      </c>
      <c r="E70" s="2">
        <v>0</v>
      </c>
      <c r="F70" s="2">
        <v>0</v>
      </c>
      <c r="G70" s="1" t="str">
        <f t="shared" si="1"/>
        <v>No</v>
      </c>
      <c r="H70" s="1" t="s">
        <v>4</v>
      </c>
    </row>
    <row r="71" spans="1:8" ht="45" x14ac:dyDescent="0.2">
      <c r="A71" s="1">
        <v>71</v>
      </c>
      <c r="B71" s="2" t="s">
        <v>82</v>
      </c>
      <c r="C71" s="2" t="s">
        <v>15</v>
      </c>
      <c r="D71" s="2">
        <v>0</v>
      </c>
      <c r="E71" s="2">
        <v>0.5</v>
      </c>
      <c r="F71" s="2">
        <v>0</v>
      </c>
      <c r="G71" s="1" t="str">
        <f t="shared" si="1"/>
        <v>Yes</v>
      </c>
      <c r="H71" s="6" t="s">
        <v>2</v>
      </c>
    </row>
    <row r="72" spans="1:8" ht="30" x14ac:dyDescent="0.2">
      <c r="A72" s="1">
        <v>72</v>
      </c>
      <c r="B72" s="2" t="s">
        <v>83</v>
      </c>
      <c r="C72" s="2" t="s">
        <v>15</v>
      </c>
      <c r="D72" s="2">
        <v>0</v>
      </c>
      <c r="E72" s="2">
        <v>0.2</v>
      </c>
      <c r="F72" s="2">
        <v>0.2</v>
      </c>
      <c r="G72" s="1" t="str">
        <f t="shared" si="1"/>
        <v>Yes</v>
      </c>
      <c r="H72" s="1" t="s">
        <v>2</v>
      </c>
    </row>
    <row r="73" spans="1:8" hidden="1" x14ac:dyDescent="0.2">
      <c r="A73" s="1">
        <v>73</v>
      </c>
      <c r="B73" s="2" t="s">
        <v>84</v>
      </c>
      <c r="C73" s="2" t="s">
        <v>15</v>
      </c>
      <c r="D73" s="2">
        <v>0</v>
      </c>
      <c r="E73" s="2">
        <v>0</v>
      </c>
      <c r="F73" s="2">
        <v>0</v>
      </c>
      <c r="G73" s="1" t="str">
        <f t="shared" si="1"/>
        <v>No</v>
      </c>
      <c r="H73" s="1" t="s">
        <v>4</v>
      </c>
    </row>
    <row r="74" spans="1:8" hidden="1" x14ac:dyDescent="0.2">
      <c r="A74" s="1">
        <v>74</v>
      </c>
      <c r="B74" s="2" t="s">
        <v>85</v>
      </c>
      <c r="C74" s="2" t="s">
        <v>15</v>
      </c>
      <c r="D74" s="2">
        <v>0</v>
      </c>
      <c r="E74" s="2">
        <v>0</v>
      </c>
      <c r="F74" s="2">
        <v>0</v>
      </c>
      <c r="G74" s="1" t="str">
        <f t="shared" si="1"/>
        <v>No</v>
      </c>
      <c r="H74" s="1" t="s">
        <v>4</v>
      </c>
    </row>
    <row r="75" spans="1:8" ht="60" hidden="1" x14ac:dyDescent="0.2">
      <c r="A75" s="1">
        <v>75</v>
      </c>
      <c r="B75" s="2" t="s">
        <v>86</v>
      </c>
      <c r="C75" s="2" t="s">
        <v>15</v>
      </c>
      <c r="D75" s="2">
        <v>0</v>
      </c>
      <c r="E75" s="2">
        <v>0</v>
      </c>
      <c r="F75" s="2">
        <v>0</v>
      </c>
      <c r="G75" s="1" t="str">
        <f t="shared" si="1"/>
        <v>No</v>
      </c>
      <c r="H75" s="1" t="s">
        <v>4</v>
      </c>
    </row>
    <row r="76" spans="1:8" ht="90" hidden="1" x14ac:dyDescent="0.2">
      <c r="A76" s="1">
        <v>76</v>
      </c>
      <c r="B76" s="2" t="s">
        <v>87</v>
      </c>
      <c r="C76" s="2" t="s">
        <v>15</v>
      </c>
      <c r="D76" s="2">
        <v>0</v>
      </c>
      <c r="E76" s="2">
        <v>0</v>
      </c>
      <c r="F76" s="2">
        <v>0</v>
      </c>
      <c r="G76" s="1" t="str">
        <f t="shared" si="1"/>
        <v>No</v>
      </c>
      <c r="H76" s="1" t="s">
        <v>4</v>
      </c>
    </row>
    <row r="77" spans="1:8" ht="75" hidden="1" x14ac:dyDescent="0.2">
      <c r="A77" s="1">
        <v>77</v>
      </c>
      <c r="B77" s="2" t="s">
        <v>88</v>
      </c>
      <c r="C77" s="2" t="s">
        <v>15</v>
      </c>
      <c r="D77" s="2">
        <v>0</v>
      </c>
      <c r="E77" s="2">
        <v>0</v>
      </c>
      <c r="F77" s="2">
        <v>0</v>
      </c>
      <c r="G77" s="1" t="str">
        <f t="shared" si="1"/>
        <v>No</v>
      </c>
      <c r="H77" s="1" t="s">
        <v>4</v>
      </c>
    </row>
    <row r="78" spans="1:8" ht="75" hidden="1" x14ac:dyDescent="0.2">
      <c r="A78" s="1">
        <v>78</v>
      </c>
      <c r="B78" s="2" t="s">
        <v>89</v>
      </c>
      <c r="C78" s="2" t="s">
        <v>60</v>
      </c>
      <c r="D78" s="2">
        <v>0</v>
      </c>
      <c r="E78" s="2">
        <v>0</v>
      </c>
      <c r="F78" s="2">
        <v>0</v>
      </c>
      <c r="G78" s="1" t="str">
        <f t="shared" si="1"/>
        <v>No</v>
      </c>
      <c r="H78" s="1" t="s">
        <v>4</v>
      </c>
    </row>
    <row r="79" spans="1:8" ht="90" hidden="1" x14ac:dyDescent="0.2">
      <c r="A79" s="1">
        <v>79</v>
      </c>
      <c r="B79" s="2" t="s">
        <v>90</v>
      </c>
      <c r="C79" s="2" t="s">
        <v>73</v>
      </c>
      <c r="D79" s="2">
        <v>0</v>
      </c>
      <c r="E79" s="2">
        <v>0</v>
      </c>
      <c r="F79" s="2">
        <v>0</v>
      </c>
      <c r="G79" s="1" t="str">
        <f t="shared" si="1"/>
        <v>No</v>
      </c>
      <c r="H79" s="1" t="s">
        <v>4</v>
      </c>
    </row>
    <row r="80" spans="1:8" ht="45" hidden="1" x14ac:dyDescent="0.2">
      <c r="A80" s="1">
        <v>80</v>
      </c>
      <c r="B80" s="2" t="s">
        <v>91</v>
      </c>
      <c r="C80" s="2" t="s">
        <v>73</v>
      </c>
      <c r="D80" s="2">
        <v>0</v>
      </c>
      <c r="E80" s="2">
        <v>0</v>
      </c>
      <c r="F80" s="2">
        <v>0</v>
      </c>
      <c r="G80" s="1" t="str">
        <f t="shared" si="1"/>
        <v>No</v>
      </c>
      <c r="H80" s="1" t="s">
        <v>4</v>
      </c>
    </row>
    <row r="81" spans="1:8" ht="60" hidden="1" x14ac:dyDescent="0.2">
      <c r="A81" s="1">
        <v>81</v>
      </c>
      <c r="B81" s="2" t="s">
        <v>92</v>
      </c>
      <c r="C81" s="2" t="s">
        <v>73</v>
      </c>
      <c r="D81" s="2">
        <v>0</v>
      </c>
      <c r="E81" s="2">
        <v>0</v>
      </c>
      <c r="F81" s="2">
        <v>0</v>
      </c>
      <c r="G81" s="1" t="str">
        <f t="shared" si="1"/>
        <v>No</v>
      </c>
      <c r="H81" s="1" t="s">
        <v>4</v>
      </c>
    </row>
    <row r="82" spans="1:8" ht="30" hidden="1" x14ac:dyDescent="0.2">
      <c r="A82" s="1">
        <v>82</v>
      </c>
      <c r="B82" s="2" t="s">
        <v>93</v>
      </c>
      <c r="C82" s="2" t="s">
        <v>15</v>
      </c>
      <c r="D82" s="2">
        <v>0</v>
      </c>
      <c r="E82" s="2">
        <v>0</v>
      </c>
      <c r="F82" s="2">
        <v>0</v>
      </c>
      <c r="G82" s="1" t="str">
        <f t="shared" si="1"/>
        <v>No</v>
      </c>
      <c r="H82" s="1" t="s">
        <v>4</v>
      </c>
    </row>
    <row r="83" spans="1:8" ht="30" x14ac:dyDescent="0.2">
      <c r="A83" s="1">
        <v>83</v>
      </c>
      <c r="B83" s="2" t="s">
        <v>94</v>
      </c>
      <c r="C83" s="2" t="s">
        <v>73</v>
      </c>
      <c r="D83" s="2">
        <v>0.5</v>
      </c>
      <c r="E83" s="2">
        <v>0.5</v>
      </c>
      <c r="F83" s="2">
        <v>0</v>
      </c>
      <c r="G83" s="1" t="str">
        <f t="shared" si="1"/>
        <v>Yes</v>
      </c>
      <c r="H83" s="1" t="s">
        <v>3</v>
      </c>
    </row>
    <row r="84" spans="1:8" ht="60" hidden="1" x14ac:dyDescent="0.2">
      <c r="A84" s="1">
        <v>84</v>
      </c>
      <c r="B84" s="2" t="s">
        <v>95</v>
      </c>
      <c r="C84" s="2" t="s">
        <v>73</v>
      </c>
      <c r="D84" s="2">
        <v>0</v>
      </c>
      <c r="E84" s="2">
        <v>0</v>
      </c>
      <c r="F84" s="2">
        <v>0</v>
      </c>
      <c r="G84" s="1" t="str">
        <f t="shared" si="1"/>
        <v>No</v>
      </c>
      <c r="H84" s="1" t="s">
        <v>4</v>
      </c>
    </row>
    <row r="85" spans="1:8" ht="60" hidden="1" x14ac:dyDescent="0.2">
      <c r="A85" s="1">
        <v>85</v>
      </c>
      <c r="B85" s="2" t="s">
        <v>96</v>
      </c>
      <c r="C85" s="2" t="s">
        <v>73</v>
      </c>
      <c r="D85" s="2">
        <v>0</v>
      </c>
      <c r="E85" s="2">
        <v>0</v>
      </c>
      <c r="F85" s="2">
        <v>0</v>
      </c>
      <c r="G85" s="1" t="str">
        <f t="shared" si="1"/>
        <v>No</v>
      </c>
      <c r="H85" s="1" t="s">
        <v>4</v>
      </c>
    </row>
    <row r="86" spans="1:8" ht="60" hidden="1" x14ac:dyDescent="0.2">
      <c r="A86" s="1">
        <v>86</v>
      </c>
      <c r="B86" s="2" t="s">
        <v>97</v>
      </c>
      <c r="C86" s="2" t="s">
        <v>73</v>
      </c>
      <c r="D86" s="2">
        <v>0</v>
      </c>
      <c r="E86" s="2">
        <v>0</v>
      </c>
      <c r="F86" s="2">
        <v>0</v>
      </c>
      <c r="G86" s="1" t="str">
        <f t="shared" si="1"/>
        <v>No</v>
      </c>
      <c r="H86" s="1" t="s">
        <v>4</v>
      </c>
    </row>
    <row r="87" spans="1:8" ht="60" x14ac:dyDescent="0.2">
      <c r="A87" s="1">
        <v>87</v>
      </c>
      <c r="B87" s="2" t="s">
        <v>98</v>
      </c>
      <c r="C87" s="2" t="s">
        <v>73</v>
      </c>
      <c r="D87" s="2">
        <v>0</v>
      </c>
      <c r="E87" s="2">
        <v>1</v>
      </c>
      <c r="F87" s="2">
        <v>1</v>
      </c>
      <c r="G87" s="1" t="str">
        <f t="shared" si="1"/>
        <v>Yes</v>
      </c>
      <c r="H87" s="1" t="s">
        <v>3</v>
      </c>
    </row>
    <row r="88" spans="1:8" ht="90" hidden="1" x14ac:dyDescent="0.2">
      <c r="A88" s="1">
        <v>88</v>
      </c>
      <c r="B88" s="2" t="s">
        <v>99</v>
      </c>
      <c r="C88" s="2" t="s">
        <v>15</v>
      </c>
      <c r="D88" s="2">
        <v>0</v>
      </c>
      <c r="E88" s="2">
        <v>0</v>
      </c>
      <c r="F88" s="2">
        <v>0</v>
      </c>
      <c r="G88" s="1" t="str">
        <f t="shared" si="1"/>
        <v>No</v>
      </c>
      <c r="H88" s="1" t="s">
        <v>4</v>
      </c>
    </row>
    <row r="89" spans="1:8" ht="75" hidden="1" x14ac:dyDescent="0.2">
      <c r="A89" s="1">
        <v>89</v>
      </c>
      <c r="B89" s="2" t="s">
        <v>100</v>
      </c>
      <c r="C89" s="2" t="s">
        <v>73</v>
      </c>
      <c r="D89" s="2">
        <v>0</v>
      </c>
      <c r="E89" s="2">
        <v>0</v>
      </c>
      <c r="F89" s="2">
        <v>0</v>
      </c>
      <c r="G89" s="1" t="str">
        <f t="shared" si="1"/>
        <v>No</v>
      </c>
      <c r="H89" s="1" t="s">
        <v>4</v>
      </c>
    </row>
    <row r="90" spans="1:8" ht="30" x14ac:dyDescent="0.2">
      <c r="A90" s="1">
        <v>90</v>
      </c>
      <c r="B90" s="2" t="s">
        <v>101</v>
      </c>
      <c r="C90" s="2" t="s">
        <v>73</v>
      </c>
      <c r="D90" s="2">
        <v>1</v>
      </c>
      <c r="E90" s="2">
        <v>0</v>
      </c>
      <c r="F90" s="2">
        <v>0</v>
      </c>
      <c r="G90" s="1" t="str">
        <f t="shared" si="1"/>
        <v>Yes</v>
      </c>
      <c r="H90" s="1" t="s">
        <v>3</v>
      </c>
    </row>
    <row r="91" spans="1:8" ht="45" hidden="1" x14ac:dyDescent="0.2">
      <c r="A91" s="1">
        <v>91</v>
      </c>
      <c r="B91" s="2" t="s">
        <v>102</v>
      </c>
      <c r="C91" s="2" t="s">
        <v>73</v>
      </c>
      <c r="D91" s="2">
        <v>0</v>
      </c>
      <c r="E91" s="2">
        <v>0</v>
      </c>
      <c r="F91" s="2">
        <v>0</v>
      </c>
      <c r="G91" s="1" t="str">
        <f t="shared" si="1"/>
        <v>No</v>
      </c>
      <c r="H91" s="1" t="s">
        <v>4</v>
      </c>
    </row>
    <row r="92" spans="1:8" ht="90" hidden="1" x14ac:dyDescent="0.2">
      <c r="A92" s="1">
        <v>92</v>
      </c>
      <c r="B92" s="2" t="s">
        <v>103</v>
      </c>
      <c r="C92" s="2" t="s">
        <v>15</v>
      </c>
      <c r="D92" s="2">
        <v>0</v>
      </c>
      <c r="E92" s="2">
        <v>0</v>
      </c>
      <c r="F92" s="2">
        <v>0</v>
      </c>
      <c r="G92" s="1" t="str">
        <f t="shared" si="1"/>
        <v>No</v>
      </c>
      <c r="H92" s="1" t="s">
        <v>4</v>
      </c>
    </row>
    <row r="93" spans="1:8" ht="60" x14ac:dyDescent="0.2">
      <c r="A93" s="1">
        <v>93</v>
      </c>
      <c r="B93" s="2" t="s">
        <v>104</v>
      </c>
      <c r="C93" s="2" t="s">
        <v>15</v>
      </c>
      <c r="D93" s="2">
        <v>0</v>
      </c>
      <c r="E93" s="2">
        <v>0</v>
      </c>
      <c r="F93" s="2">
        <v>0.2</v>
      </c>
      <c r="G93" s="1" t="str">
        <f t="shared" si="1"/>
        <v>Yes</v>
      </c>
      <c r="H93" s="1" t="s">
        <v>3</v>
      </c>
    </row>
    <row r="94" spans="1:8" ht="60" hidden="1" x14ac:dyDescent="0.2">
      <c r="A94" s="1">
        <v>94</v>
      </c>
      <c r="B94" s="2" t="s">
        <v>105</v>
      </c>
      <c r="C94" s="2" t="s">
        <v>15</v>
      </c>
      <c r="D94" s="2">
        <v>0</v>
      </c>
      <c r="E94" s="2">
        <v>0</v>
      </c>
      <c r="F94" s="2">
        <v>0</v>
      </c>
      <c r="G94" s="1" t="str">
        <f t="shared" si="1"/>
        <v>No</v>
      </c>
      <c r="H94" s="1" t="s">
        <v>4</v>
      </c>
    </row>
    <row r="95" spans="1:8" ht="60" hidden="1" x14ac:dyDescent="0.2">
      <c r="A95" s="1">
        <v>95</v>
      </c>
      <c r="B95" s="2" t="s">
        <v>106</v>
      </c>
      <c r="C95" s="2" t="s">
        <v>15</v>
      </c>
      <c r="D95" s="2">
        <v>0</v>
      </c>
      <c r="E95" s="2">
        <v>0</v>
      </c>
      <c r="F95" s="2">
        <v>0</v>
      </c>
      <c r="G95" s="1" t="str">
        <f t="shared" si="1"/>
        <v>No</v>
      </c>
      <c r="H95" s="1" t="s">
        <v>4</v>
      </c>
    </row>
    <row r="96" spans="1:8" ht="60" hidden="1" x14ac:dyDescent="0.2">
      <c r="A96" s="1">
        <v>96</v>
      </c>
      <c r="B96" s="2" t="s">
        <v>107</v>
      </c>
      <c r="C96" s="2" t="s">
        <v>15</v>
      </c>
      <c r="D96" s="2">
        <v>0</v>
      </c>
      <c r="E96" s="2">
        <v>0</v>
      </c>
      <c r="F96" s="2">
        <v>0</v>
      </c>
      <c r="G96" s="1" t="str">
        <f t="shared" si="1"/>
        <v>No</v>
      </c>
      <c r="H96" s="1" t="s">
        <v>4</v>
      </c>
    </row>
    <row r="97" spans="1:8" ht="45" x14ac:dyDescent="0.2">
      <c r="A97" s="1">
        <v>97</v>
      </c>
      <c r="B97" s="2" t="s">
        <v>108</v>
      </c>
      <c r="C97" s="2" t="s">
        <v>15</v>
      </c>
      <c r="D97" s="2">
        <v>0</v>
      </c>
      <c r="E97" s="2">
        <v>0</v>
      </c>
      <c r="F97" s="2">
        <v>0.2</v>
      </c>
      <c r="G97" s="1" t="str">
        <f t="shared" si="1"/>
        <v>Yes</v>
      </c>
      <c r="H97" s="1" t="s">
        <v>3</v>
      </c>
    </row>
    <row r="98" spans="1:8" ht="75" x14ac:dyDescent="0.2">
      <c r="A98" s="1">
        <v>98</v>
      </c>
      <c r="B98" s="2" t="s">
        <v>109</v>
      </c>
      <c r="C98" s="2" t="s">
        <v>15</v>
      </c>
      <c r="D98" s="2">
        <v>0</v>
      </c>
      <c r="E98" s="2">
        <v>0</v>
      </c>
      <c r="F98" s="2">
        <v>0.2</v>
      </c>
      <c r="G98" s="1" t="str">
        <f t="shared" si="1"/>
        <v>Yes</v>
      </c>
      <c r="H98" s="1" t="s">
        <v>2</v>
      </c>
    </row>
    <row r="99" spans="1:8" ht="90" x14ac:dyDescent="0.2">
      <c r="A99" s="1">
        <v>99</v>
      </c>
      <c r="B99" s="2" t="s">
        <v>110</v>
      </c>
      <c r="C99" s="2" t="s">
        <v>47</v>
      </c>
      <c r="D99" s="2">
        <v>0</v>
      </c>
      <c r="E99" s="2">
        <v>1</v>
      </c>
      <c r="F99" s="2">
        <v>1</v>
      </c>
      <c r="G99" s="1" t="str">
        <f t="shared" si="1"/>
        <v>Yes</v>
      </c>
      <c r="H99" s="1" t="s">
        <v>3</v>
      </c>
    </row>
    <row r="100" spans="1:8" ht="60" x14ac:dyDescent="0.2">
      <c r="A100" s="1">
        <v>100</v>
      </c>
      <c r="B100" s="2" t="s">
        <v>111</v>
      </c>
      <c r="C100" s="2" t="s">
        <v>112</v>
      </c>
      <c r="D100" s="2">
        <v>0</v>
      </c>
      <c r="E100" s="2">
        <v>1</v>
      </c>
      <c r="F100" s="2">
        <v>1</v>
      </c>
      <c r="G100" s="1" t="str">
        <f t="shared" si="1"/>
        <v>Yes</v>
      </c>
      <c r="H100" s="1" t="s">
        <v>3</v>
      </c>
    </row>
    <row r="101" spans="1:8" hidden="1" x14ac:dyDescent="0.2">
      <c r="A101" s="1">
        <v>101</v>
      </c>
      <c r="B101" s="2" t="s">
        <v>113</v>
      </c>
      <c r="C101" s="2" t="s">
        <v>15</v>
      </c>
      <c r="D101" s="2">
        <v>0</v>
      </c>
      <c r="E101" s="2">
        <v>0</v>
      </c>
      <c r="F101" s="2">
        <v>0</v>
      </c>
      <c r="G101" s="1" t="str">
        <f t="shared" si="1"/>
        <v>No</v>
      </c>
      <c r="H101" s="1" t="s">
        <v>4</v>
      </c>
    </row>
    <row r="102" spans="1:8" ht="45" hidden="1" x14ac:dyDescent="0.2">
      <c r="A102" s="1">
        <v>102</v>
      </c>
      <c r="B102" s="3" t="s">
        <v>114</v>
      </c>
      <c r="C102" s="2" t="s">
        <v>60</v>
      </c>
      <c r="D102" s="2">
        <v>0</v>
      </c>
      <c r="E102" s="2">
        <v>0</v>
      </c>
      <c r="F102" s="2">
        <v>0</v>
      </c>
      <c r="G102" s="1" t="str">
        <f t="shared" si="1"/>
        <v>No</v>
      </c>
      <c r="H102" s="1" t="s">
        <v>4</v>
      </c>
    </row>
    <row r="103" spans="1:8" ht="30" hidden="1" x14ac:dyDescent="0.2">
      <c r="A103" s="1">
        <v>103</v>
      </c>
      <c r="B103" s="2" t="s">
        <v>115</v>
      </c>
      <c r="C103" s="2" t="s">
        <v>6</v>
      </c>
      <c r="D103" s="2">
        <v>0</v>
      </c>
      <c r="E103" s="2">
        <v>0</v>
      </c>
      <c r="F103" s="2">
        <v>0</v>
      </c>
      <c r="G103" s="1" t="str">
        <f t="shared" si="1"/>
        <v>No</v>
      </c>
      <c r="H103" s="1" t="s">
        <v>4</v>
      </c>
    </row>
    <row r="104" spans="1:8" ht="90" x14ac:dyDescent="0.2">
      <c r="A104" s="1">
        <v>104</v>
      </c>
      <c r="B104" s="7" t="s">
        <v>116</v>
      </c>
      <c r="C104" s="2" t="s">
        <v>6</v>
      </c>
      <c r="D104" s="2">
        <v>1</v>
      </c>
      <c r="E104" s="2">
        <v>1</v>
      </c>
      <c r="F104" s="2">
        <v>1</v>
      </c>
      <c r="G104" s="1" t="str">
        <f t="shared" si="1"/>
        <v>Yes</v>
      </c>
      <c r="H104" s="1" t="s">
        <v>3</v>
      </c>
    </row>
  </sheetData>
  <autoFilter ref="G1:G104" xr:uid="{21EC50FB-904B-A846-BA33-F9EB3BDB2A42}">
    <filterColumn colId="0">
      <filters>
        <filter val="Yes"/>
      </filters>
    </filterColumn>
  </autoFilter>
  <conditionalFormatting sqref="B1:B10">
    <cfRule type="expression" dxfId="44" priority="1">
      <formula>AND($D1=0,$E1=0,$F1=0)</formula>
    </cfRule>
  </conditionalFormatting>
  <conditionalFormatting sqref="B12:B42">
    <cfRule type="expression" dxfId="43" priority="33">
      <formula>AND($D12=0,$E12=0,$F12=0)</formula>
    </cfRule>
  </conditionalFormatting>
  <conditionalFormatting sqref="B102">
    <cfRule type="expression" dxfId="42" priority="96">
      <formula>AND($D107=0,$E107=0,$F107=0)</formula>
    </cfRule>
  </conditionalFormatting>
  <conditionalFormatting sqref="C1:C42 A1:A102 B43:C89 B90:B101 C90:C102 A103:C104">
    <cfRule type="expression" dxfId="41" priority="92">
      <formula>AND($D1=0,$E1=0,$F1=0)</formula>
    </cfRule>
  </conditionalFormatting>
  <conditionalFormatting sqref="D99:D100">
    <cfRule type="cellIs" dxfId="40" priority="8" operator="equal">
      <formula>0.4</formula>
    </cfRule>
  </conditionalFormatting>
  <conditionalFormatting sqref="D101:D104">
    <cfRule type="cellIs" dxfId="39" priority="91" operator="equal">
      <formula>0.5</formula>
    </cfRule>
  </conditionalFormatting>
  <conditionalFormatting sqref="D1:F25 D27:F30 D34:F34 D38:F40 D42:F45 D48:F55 D60:F67 D71:F73 D77:F84 D87:F88 D90:F98">
    <cfRule type="cellIs" dxfId="38" priority="90" operator="equal">
      <formula>0.5</formula>
    </cfRule>
  </conditionalFormatting>
  <conditionalFormatting sqref="D1:F104">
    <cfRule type="cellIs" dxfId="37" priority="5" operator="equal">
      <formula>0.6</formula>
    </cfRule>
    <cfRule type="cellIs" dxfId="36" priority="6" operator="equal">
      <formula>0.8</formula>
    </cfRule>
    <cfRule type="cellIs" dxfId="35" priority="7" operator="equal">
      <formula>1</formula>
    </cfRule>
    <cfRule type="cellIs" dxfId="34" priority="3" operator="equal">
      <formula>0.2</formula>
    </cfRule>
    <cfRule type="cellIs" dxfId="33" priority="2" operator="equal">
      <formula>0</formula>
    </cfRule>
  </conditionalFormatting>
  <conditionalFormatting sqref="D26:F26">
    <cfRule type="cellIs" dxfId="32" priority="89" operator="equal">
      <formula>0.4</formula>
    </cfRule>
  </conditionalFormatting>
  <conditionalFormatting sqref="D31:F33">
    <cfRule type="cellIs" dxfId="31" priority="83" operator="equal">
      <formula>0.4</formula>
    </cfRule>
  </conditionalFormatting>
  <conditionalFormatting sqref="D35:F37">
    <cfRule type="cellIs" dxfId="30" priority="78" operator="equal">
      <formula>0.4</formula>
    </cfRule>
  </conditionalFormatting>
  <conditionalFormatting sqref="D41:F41">
    <cfRule type="cellIs" dxfId="29" priority="69" operator="equal">
      <formula>0.4</formula>
    </cfRule>
  </conditionalFormatting>
  <conditionalFormatting sqref="D46:F47">
    <cfRule type="cellIs" dxfId="28" priority="63" operator="equal">
      <formula>0.4</formula>
    </cfRule>
  </conditionalFormatting>
  <conditionalFormatting sqref="D56:F59">
    <cfRule type="cellIs" dxfId="27" priority="58" operator="equal">
      <formula>0.4</formula>
    </cfRule>
  </conditionalFormatting>
  <conditionalFormatting sqref="D68:F70">
    <cfRule type="cellIs" dxfId="26" priority="53" operator="equal">
      <formula>0.4</formula>
    </cfRule>
  </conditionalFormatting>
  <conditionalFormatting sqref="D74:F76">
    <cfRule type="cellIs" dxfId="25" priority="48" operator="equal">
      <formula>0.4</formula>
    </cfRule>
  </conditionalFormatting>
  <conditionalFormatting sqref="D85:F86">
    <cfRule type="cellIs" dxfId="24" priority="43" operator="equal">
      <formula>0.4</formula>
    </cfRule>
  </conditionalFormatting>
  <conditionalFormatting sqref="D89:F89">
    <cfRule type="cellIs" dxfId="23" priority="37" operator="equal">
      <formula>0.4</formula>
    </cfRule>
  </conditionalFormatting>
  <conditionalFormatting sqref="E99">
    <cfRule type="cellIs" dxfId="22" priority="29" operator="equal">
      <formula>0.4</formula>
    </cfRule>
  </conditionalFormatting>
  <conditionalFormatting sqref="E100:E104">
    <cfRule type="cellIs" dxfId="21" priority="4" operator="equal">
      <formula>0.5</formula>
    </cfRule>
  </conditionalFormatting>
  <conditionalFormatting sqref="F99:F100">
    <cfRule type="cellIs" dxfId="20" priority="10" operator="equal">
      <formula>0.4</formula>
    </cfRule>
  </conditionalFormatting>
  <conditionalFormatting sqref="F101:F104">
    <cfRule type="cellIs" dxfId="19" priority="94" operator="equal">
      <formula>0.5</formula>
    </cfRule>
  </conditionalFormatting>
  <conditionalFormatting sqref="H13">
    <cfRule type="expression" dxfId="18" priority="34">
      <formula>AND($D15=0,$E15=0,$F15=0)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4595-7231-AE4E-A8FC-7470B1B1E4E5}">
  <dimension ref="A1:G39"/>
  <sheetViews>
    <sheetView workbookViewId="0">
      <selection sqref="A1:G39"/>
    </sheetView>
  </sheetViews>
  <sheetFormatPr baseColWidth="10" defaultRowHeight="16" x14ac:dyDescent="0.2"/>
  <sheetData>
    <row r="1" spans="1:7" x14ac:dyDescent="0.2">
      <c r="A1" t="s">
        <v>117</v>
      </c>
      <c r="B1" t="s">
        <v>118</v>
      </c>
      <c r="C1" t="s">
        <v>121</v>
      </c>
      <c r="D1" t="s">
        <v>122</v>
      </c>
      <c r="E1" t="s">
        <v>123</v>
      </c>
      <c r="F1" t="s">
        <v>120</v>
      </c>
      <c r="G1" t="s">
        <v>119</v>
      </c>
    </row>
    <row r="2" spans="1:7" ht="45" x14ac:dyDescent="0.2">
      <c r="A2" s="1">
        <v>2</v>
      </c>
      <c r="B2" s="2" t="s">
        <v>5</v>
      </c>
      <c r="C2" s="2">
        <v>0.2</v>
      </c>
      <c r="D2" s="2">
        <v>0.2</v>
      </c>
      <c r="E2" s="2">
        <v>0.2</v>
      </c>
      <c r="F2" s="1" t="s">
        <v>3</v>
      </c>
      <c r="G2" s="1" t="s">
        <v>3</v>
      </c>
    </row>
    <row r="3" spans="1:7" ht="75" x14ac:dyDescent="0.2">
      <c r="A3" s="1">
        <v>4</v>
      </c>
      <c r="B3" s="2" t="s">
        <v>8</v>
      </c>
      <c r="C3" s="2">
        <v>1</v>
      </c>
      <c r="D3" s="2">
        <v>1</v>
      </c>
      <c r="E3" s="2">
        <v>1</v>
      </c>
      <c r="F3" s="1" t="s">
        <v>3</v>
      </c>
      <c r="G3" s="1" t="s">
        <v>2</v>
      </c>
    </row>
    <row r="4" spans="1:7" ht="30" x14ac:dyDescent="0.2">
      <c r="A4" s="1">
        <v>6</v>
      </c>
      <c r="B4" s="2" t="s">
        <v>11</v>
      </c>
      <c r="C4" s="2">
        <v>0</v>
      </c>
      <c r="D4" s="2">
        <v>0.5</v>
      </c>
      <c r="E4" s="2">
        <v>1</v>
      </c>
      <c r="F4" s="1" t="s">
        <v>3</v>
      </c>
      <c r="G4" s="1" t="s">
        <v>3</v>
      </c>
    </row>
    <row r="5" spans="1:7" ht="45" x14ac:dyDescent="0.2">
      <c r="A5" s="1">
        <v>8</v>
      </c>
      <c r="B5" s="2" t="s">
        <v>13</v>
      </c>
      <c r="C5" s="2">
        <v>0</v>
      </c>
      <c r="D5" s="2">
        <v>0.5</v>
      </c>
      <c r="E5" s="2">
        <v>1</v>
      </c>
      <c r="F5" s="1" t="s">
        <v>3</v>
      </c>
      <c r="G5" s="1" t="s">
        <v>2</v>
      </c>
    </row>
    <row r="6" spans="1:7" ht="60" x14ac:dyDescent="0.2">
      <c r="A6" s="1">
        <v>10</v>
      </c>
      <c r="B6" s="2" t="s">
        <v>16</v>
      </c>
      <c r="C6" s="2">
        <v>0</v>
      </c>
      <c r="D6" s="2">
        <v>1</v>
      </c>
      <c r="E6" s="2">
        <v>1</v>
      </c>
      <c r="F6" s="1" t="s">
        <v>3</v>
      </c>
      <c r="G6" s="1" t="s">
        <v>3</v>
      </c>
    </row>
    <row r="7" spans="1:7" ht="30" x14ac:dyDescent="0.2">
      <c r="A7" s="1">
        <v>16</v>
      </c>
      <c r="B7" s="2" t="s">
        <v>22</v>
      </c>
      <c r="C7" s="2">
        <v>0</v>
      </c>
      <c r="D7" s="2">
        <v>0</v>
      </c>
      <c r="E7" s="2">
        <v>0.2</v>
      </c>
      <c r="F7" s="1" t="s">
        <v>3</v>
      </c>
      <c r="G7" s="1" t="s">
        <v>2</v>
      </c>
    </row>
    <row r="8" spans="1:7" ht="75" x14ac:dyDescent="0.2">
      <c r="A8" s="1">
        <v>18</v>
      </c>
      <c r="B8" s="2" t="s">
        <v>24</v>
      </c>
      <c r="C8" s="2">
        <v>0.5</v>
      </c>
      <c r="D8" s="2">
        <v>0.5</v>
      </c>
      <c r="E8" s="2">
        <v>0.5</v>
      </c>
      <c r="F8" s="1" t="s">
        <v>3</v>
      </c>
      <c r="G8" s="1" t="s">
        <v>3</v>
      </c>
    </row>
    <row r="9" spans="1:7" ht="45" x14ac:dyDescent="0.2">
      <c r="A9" s="1">
        <v>22</v>
      </c>
      <c r="B9" s="2" t="s">
        <v>28</v>
      </c>
      <c r="C9" s="2">
        <v>0.2</v>
      </c>
      <c r="D9" s="2">
        <v>0.2</v>
      </c>
      <c r="E9" s="2">
        <v>0</v>
      </c>
      <c r="F9" s="1" t="s">
        <v>3</v>
      </c>
      <c r="G9" s="1" t="s">
        <v>3</v>
      </c>
    </row>
    <row r="10" spans="1:7" ht="60" x14ac:dyDescent="0.2">
      <c r="A10" s="1">
        <v>23</v>
      </c>
      <c r="B10" s="2" t="s">
        <v>29</v>
      </c>
      <c r="C10" s="2">
        <v>0.5</v>
      </c>
      <c r="D10" s="2">
        <v>0.5</v>
      </c>
      <c r="E10" s="2">
        <v>0.5</v>
      </c>
      <c r="F10" s="1" t="s">
        <v>3</v>
      </c>
      <c r="G10" s="1" t="s">
        <v>3</v>
      </c>
    </row>
    <row r="11" spans="1:7" ht="60" x14ac:dyDescent="0.2">
      <c r="A11" s="1">
        <v>24</v>
      </c>
      <c r="B11" s="2" t="s">
        <v>30</v>
      </c>
      <c r="C11" s="2">
        <v>0</v>
      </c>
      <c r="D11" s="2">
        <v>1</v>
      </c>
      <c r="E11" s="2">
        <v>1</v>
      </c>
      <c r="F11" s="1" t="s">
        <v>3</v>
      </c>
      <c r="G11" s="1" t="s">
        <v>3</v>
      </c>
    </row>
    <row r="12" spans="1:7" ht="45" x14ac:dyDescent="0.2">
      <c r="A12" s="1">
        <v>28</v>
      </c>
      <c r="B12" s="2" t="s">
        <v>34</v>
      </c>
      <c r="C12" s="2">
        <v>0.2</v>
      </c>
      <c r="D12" s="2">
        <v>0</v>
      </c>
      <c r="E12" s="2">
        <v>0.2</v>
      </c>
      <c r="F12" s="1" t="s">
        <v>3</v>
      </c>
      <c r="G12" s="1" t="s">
        <v>3</v>
      </c>
    </row>
    <row r="13" spans="1:7" ht="30" x14ac:dyDescent="0.2">
      <c r="A13" s="1">
        <v>30</v>
      </c>
      <c r="B13" s="2" t="s">
        <v>36</v>
      </c>
      <c r="C13" s="2">
        <v>0</v>
      </c>
      <c r="D13" s="2">
        <v>0.5</v>
      </c>
      <c r="E13" s="2">
        <v>1</v>
      </c>
      <c r="F13" s="1" t="s">
        <v>3</v>
      </c>
      <c r="G13" s="1" t="s">
        <v>3</v>
      </c>
    </row>
    <row r="14" spans="1:7" ht="75" x14ac:dyDescent="0.2">
      <c r="A14" s="1">
        <v>34</v>
      </c>
      <c r="B14" s="2" t="s">
        <v>40</v>
      </c>
      <c r="C14" s="2">
        <v>0</v>
      </c>
      <c r="D14" s="2">
        <v>1</v>
      </c>
      <c r="E14" s="2">
        <v>1</v>
      </c>
      <c r="F14" s="1" t="s">
        <v>3</v>
      </c>
      <c r="G14" s="1" t="s">
        <v>3</v>
      </c>
    </row>
    <row r="15" spans="1:7" ht="30" x14ac:dyDescent="0.2">
      <c r="A15" s="1">
        <v>39</v>
      </c>
      <c r="B15" s="2" t="s">
        <v>46</v>
      </c>
      <c r="C15" s="2">
        <v>0.2</v>
      </c>
      <c r="D15" s="2">
        <v>0</v>
      </c>
      <c r="E15" s="2">
        <v>0.2</v>
      </c>
      <c r="F15" s="1" t="s">
        <v>3</v>
      </c>
      <c r="G15" s="1" t="s">
        <v>2</v>
      </c>
    </row>
    <row r="16" spans="1:7" ht="30" x14ac:dyDescent="0.2">
      <c r="A16" s="1">
        <v>43</v>
      </c>
      <c r="B16" s="2" t="s">
        <v>51</v>
      </c>
      <c r="C16" s="2">
        <v>0</v>
      </c>
      <c r="D16" s="2">
        <v>0.5</v>
      </c>
      <c r="E16" s="2">
        <v>0.5</v>
      </c>
      <c r="F16" s="1" t="s">
        <v>3</v>
      </c>
      <c r="G16" s="1" t="s">
        <v>3</v>
      </c>
    </row>
    <row r="17" spans="1:7" ht="60" x14ac:dyDescent="0.2">
      <c r="A17" s="1">
        <v>45</v>
      </c>
      <c r="B17" s="2" t="s">
        <v>53</v>
      </c>
      <c r="C17" s="2">
        <v>0</v>
      </c>
      <c r="D17" s="2">
        <v>1</v>
      </c>
      <c r="E17" s="2">
        <v>1</v>
      </c>
      <c r="F17" s="1" t="s">
        <v>3</v>
      </c>
      <c r="G17" s="1" t="s">
        <v>3</v>
      </c>
    </row>
    <row r="18" spans="1:7" ht="60" x14ac:dyDescent="0.2">
      <c r="A18" s="1">
        <v>48</v>
      </c>
      <c r="B18" s="2" t="s">
        <v>56</v>
      </c>
      <c r="C18" s="2">
        <v>0</v>
      </c>
      <c r="D18" s="2">
        <v>1</v>
      </c>
      <c r="E18" s="2">
        <v>0</v>
      </c>
      <c r="F18" s="1" t="s">
        <v>3</v>
      </c>
      <c r="G18" s="1" t="s">
        <v>3</v>
      </c>
    </row>
    <row r="19" spans="1:7" x14ac:dyDescent="0.2">
      <c r="A19" s="1">
        <v>54</v>
      </c>
      <c r="B19" s="2" t="s">
        <v>64</v>
      </c>
      <c r="C19" s="2">
        <v>0</v>
      </c>
      <c r="D19" s="2">
        <v>0.5</v>
      </c>
      <c r="E19" s="2">
        <v>1</v>
      </c>
      <c r="F19" s="1" t="s">
        <v>3</v>
      </c>
      <c r="G19" s="1" t="s">
        <v>3</v>
      </c>
    </row>
    <row r="20" spans="1:7" ht="60" x14ac:dyDescent="0.2">
      <c r="A20" s="1">
        <v>55</v>
      </c>
      <c r="B20" s="2" t="s">
        <v>65</v>
      </c>
      <c r="C20" s="2">
        <v>0</v>
      </c>
      <c r="D20" s="2">
        <v>0</v>
      </c>
      <c r="E20" s="2">
        <v>0.5</v>
      </c>
      <c r="F20" s="1" t="s">
        <v>3</v>
      </c>
      <c r="G20" s="1" t="s">
        <v>2</v>
      </c>
    </row>
    <row r="21" spans="1:7" ht="45" x14ac:dyDescent="0.2">
      <c r="A21" s="1">
        <v>56</v>
      </c>
      <c r="B21" s="2" t="s">
        <v>66</v>
      </c>
      <c r="C21" s="2">
        <v>0</v>
      </c>
      <c r="D21" s="2">
        <v>0</v>
      </c>
      <c r="E21" s="4">
        <v>0.5</v>
      </c>
      <c r="F21" s="1" t="s">
        <v>3</v>
      </c>
      <c r="G21" s="1" t="s">
        <v>2</v>
      </c>
    </row>
    <row r="22" spans="1:7" ht="45" x14ac:dyDescent="0.2">
      <c r="A22" s="1">
        <v>57</v>
      </c>
      <c r="B22" s="2" t="s">
        <v>67</v>
      </c>
      <c r="C22" s="2">
        <v>0</v>
      </c>
      <c r="D22" s="2">
        <v>0</v>
      </c>
      <c r="E22" s="4">
        <v>0.5</v>
      </c>
      <c r="F22" s="1" t="s">
        <v>3</v>
      </c>
      <c r="G22" s="1" t="s">
        <v>2</v>
      </c>
    </row>
    <row r="23" spans="1:7" ht="60" x14ac:dyDescent="0.2">
      <c r="A23" s="1">
        <v>59</v>
      </c>
      <c r="B23" s="5" t="s">
        <v>69</v>
      </c>
      <c r="C23" s="2">
        <v>0</v>
      </c>
      <c r="D23" s="2">
        <v>0</v>
      </c>
      <c r="E23" s="4">
        <v>0.5</v>
      </c>
      <c r="F23" s="1" t="s">
        <v>3</v>
      </c>
      <c r="G23" s="1" t="s">
        <v>2</v>
      </c>
    </row>
    <row r="24" spans="1:7" x14ac:dyDescent="0.2">
      <c r="A24" s="1">
        <v>63</v>
      </c>
      <c r="B24" s="2" t="s">
        <v>74</v>
      </c>
      <c r="C24" s="2">
        <v>0.5</v>
      </c>
      <c r="D24" s="2">
        <v>0</v>
      </c>
      <c r="E24" s="2">
        <v>0</v>
      </c>
      <c r="F24" s="1" t="s">
        <v>3</v>
      </c>
      <c r="G24" s="1" t="s">
        <v>3</v>
      </c>
    </row>
    <row r="25" spans="1:7" ht="45" x14ac:dyDescent="0.2">
      <c r="A25" s="1">
        <v>64</v>
      </c>
      <c r="B25" s="2" t="s">
        <v>75</v>
      </c>
      <c r="C25" s="2">
        <v>0</v>
      </c>
      <c r="D25" s="2">
        <v>0.2</v>
      </c>
      <c r="E25" s="2">
        <v>0</v>
      </c>
      <c r="F25" s="1" t="s">
        <v>3</v>
      </c>
      <c r="G25" s="1" t="s">
        <v>3</v>
      </c>
    </row>
    <row r="26" spans="1:7" ht="30" x14ac:dyDescent="0.2">
      <c r="A26" s="1">
        <v>65</v>
      </c>
      <c r="B26" s="2" t="s">
        <v>76</v>
      </c>
      <c r="C26" s="2">
        <v>0.5</v>
      </c>
      <c r="D26" s="2">
        <v>0.5</v>
      </c>
      <c r="E26" s="2">
        <v>0</v>
      </c>
      <c r="F26" s="1" t="s">
        <v>3</v>
      </c>
      <c r="G26" s="1" t="s">
        <v>3</v>
      </c>
    </row>
    <row r="27" spans="1:7" ht="30" x14ac:dyDescent="0.2">
      <c r="A27" s="1">
        <v>66</v>
      </c>
      <c r="B27" s="2" t="s">
        <v>77</v>
      </c>
      <c r="C27" s="2">
        <v>0.5</v>
      </c>
      <c r="D27" s="2">
        <v>0.5</v>
      </c>
      <c r="E27" s="2">
        <v>0</v>
      </c>
      <c r="F27" s="1" t="s">
        <v>3</v>
      </c>
      <c r="G27" s="1" t="s">
        <v>2</v>
      </c>
    </row>
    <row r="28" spans="1:7" ht="30" x14ac:dyDescent="0.2">
      <c r="A28" s="1">
        <v>67</v>
      </c>
      <c r="B28" s="2" t="s">
        <v>78</v>
      </c>
      <c r="C28" s="2">
        <v>0</v>
      </c>
      <c r="D28" s="2">
        <v>0.5</v>
      </c>
      <c r="E28" s="2">
        <v>1</v>
      </c>
      <c r="F28" s="1" t="s">
        <v>3</v>
      </c>
      <c r="G28" s="1" t="s">
        <v>3</v>
      </c>
    </row>
    <row r="29" spans="1:7" ht="45" x14ac:dyDescent="0.2">
      <c r="A29" s="1">
        <v>71</v>
      </c>
      <c r="B29" s="2" t="s">
        <v>82</v>
      </c>
      <c r="C29" s="2">
        <v>0</v>
      </c>
      <c r="D29" s="2">
        <v>0.5</v>
      </c>
      <c r="E29" s="2">
        <v>0</v>
      </c>
      <c r="F29" s="1" t="s">
        <v>3</v>
      </c>
      <c r="G29" s="6" t="s">
        <v>2</v>
      </c>
    </row>
    <row r="30" spans="1:7" ht="30" x14ac:dyDescent="0.2">
      <c r="A30" s="1">
        <v>72</v>
      </c>
      <c r="B30" s="2" t="s">
        <v>83</v>
      </c>
      <c r="C30" s="2">
        <v>0</v>
      </c>
      <c r="D30" s="2">
        <v>0.2</v>
      </c>
      <c r="E30" s="2">
        <v>0.2</v>
      </c>
      <c r="F30" s="1" t="s">
        <v>3</v>
      </c>
      <c r="G30" s="1" t="s">
        <v>2</v>
      </c>
    </row>
    <row r="31" spans="1:7" ht="30" x14ac:dyDescent="0.2">
      <c r="A31" s="1">
        <v>83</v>
      </c>
      <c r="B31" s="2" t="s">
        <v>94</v>
      </c>
      <c r="C31" s="2">
        <v>0.5</v>
      </c>
      <c r="D31" s="2">
        <v>0.5</v>
      </c>
      <c r="E31" s="2">
        <v>0</v>
      </c>
      <c r="F31" s="1" t="s">
        <v>3</v>
      </c>
      <c r="G31" s="1" t="s">
        <v>3</v>
      </c>
    </row>
    <row r="32" spans="1:7" ht="60" x14ac:dyDescent="0.2">
      <c r="A32" s="1">
        <v>87</v>
      </c>
      <c r="B32" s="2" t="s">
        <v>98</v>
      </c>
      <c r="C32" s="2">
        <v>0</v>
      </c>
      <c r="D32" s="2">
        <v>1</v>
      </c>
      <c r="E32" s="2">
        <v>1</v>
      </c>
      <c r="F32" s="1" t="s">
        <v>3</v>
      </c>
      <c r="G32" s="1" t="s">
        <v>3</v>
      </c>
    </row>
    <row r="33" spans="1:7" ht="30" x14ac:dyDescent="0.2">
      <c r="A33" s="1">
        <v>90</v>
      </c>
      <c r="B33" s="2" t="s">
        <v>101</v>
      </c>
      <c r="C33" s="2">
        <v>1</v>
      </c>
      <c r="D33" s="2">
        <v>0</v>
      </c>
      <c r="E33" s="2">
        <v>0</v>
      </c>
      <c r="F33" s="1" t="s">
        <v>3</v>
      </c>
      <c r="G33" s="1" t="s">
        <v>3</v>
      </c>
    </row>
    <row r="34" spans="1:7" ht="60" x14ac:dyDescent="0.2">
      <c r="A34" s="1">
        <v>93</v>
      </c>
      <c r="B34" s="2" t="s">
        <v>104</v>
      </c>
      <c r="C34" s="2">
        <v>0</v>
      </c>
      <c r="D34" s="2">
        <v>0</v>
      </c>
      <c r="E34" s="2">
        <v>0.2</v>
      </c>
      <c r="F34" s="1" t="s">
        <v>3</v>
      </c>
      <c r="G34" s="1" t="s">
        <v>3</v>
      </c>
    </row>
    <row r="35" spans="1:7" ht="45" x14ac:dyDescent="0.2">
      <c r="A35" s="1">
        <v>97</v>
      </c>
      <c r="B35" s="2" t="s">
        <v>108</v>
      </c>
      <c r="C35" s="2">
        <v>0</v>
      </c>
      <c r="D35" s="2">
        <v>0</v>
      </c>
      <c r="E35" s="2">
        <v>0.2</v>
      </c>
      <c r="F35" s="1" t="s">
        <v>3</v>
      </c>
      <c r="G35" s="1" t="s">
        <v>3</v>
      </c>
    </row>
    <row r="36" spans="1:7" ht="75" x14ac:dyDescent="0.2">
      <c r="A36" s="1">
        <v>98</v>
      </c>
      <c r="B36" s="2" t="s">
        <v>109</v>
      </c>
      <c r="C36" s="2">
        <v>0</v>
      </c>
      <c r="D36" s="2">
        <v>0</v>
      </c>
      <c r="E36" s="2">
        <v>0.2</v>
      </c>
      <c r="F36" s="1" t="s">
        <v>3</v>
      </c>
      <c r="G36" s="1" t="s">
        <v>2</v>
      </c>
    </row>
    <row r="37" spans="1:7" ht="90" x14ac:dyDescent="0.2">
      <c r="A37" s="1">
        <v>99</v>
      </c>
      <c r="B37" s="2" t="s">
        <v>110</v>
      </c>
      <c r="C37" s="2">
        <v>0</v>
      </c>
      <c r="D37" s="2">
        <v>1</v>
      </c>
      <c r="E37" s="2">
        <v>1</v>
      </c>
      <c r="F37" s="1" t="s">
        <v>3</v>
      </c>
      <c r="G37" s="1" t="s">
        <v>3</v>
      </c>
    </row>
    <row r="38" spans="1:7" ht="60" x14ac:dyDescent="0.2">
      <c r="A38" s="1">
        <v>100</v>
      </c>
      <c r="B38" s="2" t="s">
        <v>111</v>
      </c>
      <c r="C38" s="2">
        <v>0</v>
      </c>
      <c r="D38" s="2">
        <v>1</v>
      </c>
      <c r="E38" s="2">
        <v>1</v>
      </c>
      <c r="F38" s="1" t="s">
        <v>3</v>
      </c>
      <c r="G38" s="1" t="s">
        <v>3</v>
      </c>
    </row>
    <row r="39" spans="1:7" ht="90" x14ac:dyDescent="0.2">
      <c r="A39" s="1">
        <v>104</v>
      </c>
      <c r="B39" s="7" t="s">
        <v>116</v>
      </c>
      <c r="C39" s="2">
        <v>1</v>
      </c>
      <c r="D39" s="2">
        <v>1</v>
      </c>
      <c r="E39" s="2">
        <v>1</v>
      </c>
      <c r="F39" s="1" t="s">
        <v>3</v>
      </c>
      <c r="G39" s="1" t="s">
        <v>3</v>
      </c>
    </row>
  </sheetData>
  <conditionalFormatting sqref="A2:B39">
    <cfRule type="expression" dxfId="17" priority="8">
      <formula>AND($C2=0,$D2=0,$E2=0)</formula>
    </cfRule>
  </conditionalFormatting>
  <conditionalFormatting sqref="C37:C38">
    <cfRule type="cellIs" dxfId="16" priority="4" operator="equal">
      <formula>0.4</formula>
    </cfRule>
  </conditionalFormatting>
  <conditionalFormatting sqref="C39">
    <cfRule type="cellIs" dxfId="15" priority="1" operator="equal">
      <formula>0.5</formula>
    </cfRule>
  </conditionalFormatting>
  <conditionalFormatting sqref="C2:E20 C24:E36">
    <cfRule type="cellIs" dxfId="14" priority="15" operator="equal">
      <formula>0.5</formula>
    </cfRule>
  </conditionalFormatting>
  <conditionalFormatting sqref="C2:E39">
    <cfRule type="cellIs" dxfId="13" priority="10" operator="equal">
      <formula>0</formula>
    </cfRule>
    <cfRule type="cellIs" dxfId="12" priority="11" operator="equal">
      <formula>0.2</formula>
    </cfRule>
    <cfRule type="cellIs" dxfId="11" priority="12" operator="equal">
      <formula>0.6</formula>
    </cfRule>
    <cfRule type="cellIs" dxfId="10" priority="13" operator="equal">
      <formula>0.8</formula>
    </cfRule>
    <cfRule type="cellIs" dxfId="9" priority="14" operator="equal">
      <formula>1</formula>
    </cfRule>
  </conditionalFormatting>
  <conditionalFormatting sqref="C21:E23">
    <cfRule type="cellIs" dxfId="8" priority="7" operator="equal">
      <formula>0.4</formula>
    </cfRule>
  </conditionalFormatting>
  <conditionalFormatting sqref="D37">
    <cfRule type="cellIs" dxfId="7" priority="6" operator="equal">
      <formula>0.4</formula>
    </cfRule>
  </conditionalFormatting>
  <conditionalFormatting sqref="D38:D39">
    <cfRule type="cellIs" dxfId="6" priority="3" operator="equal">
      <formula>0.5</formula>
    </cfRule>
  </conditionalFormatting>
  <conditionalFormatting sqref="E37:E38">
    <cfRule type="cellIs" dxfId="5" priority="5" operator="equal">
      <formula>0.4</formula>
    </cfRule>
  </conditionalFormatting>
  <conditionalFormatting sqref="E39">
    <cfRule type="cellIs" dxfId="4" priority="2" operator="equal">
      <formula>0.5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F692-C195-8141-9CC7-62151A80C543}">
  <dimension ref="A1:AB31"/>
  <sheetViews>
    <sheetView workbookViewId="0">
      <selection sqref="A1:AB31"/>
    </sheetView>
  </sheetViews>
  <sheetFormatPr baseColWidth="10" defaultRowHeight="16" x14ac:dyDescent="0.2"/>
  <sheetData>
    <row r="1" spans="1:28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">
      <c r="A4" s="8"/>
      <c r="B4" s="8">
        <f>'[1]Indicator Directory'!$N$4</f>
        <v>0.2</v>
      </c>
      <c r="C4" s="8">
        <f>'[1]Indicator Directory'!$N$4</f>
        <v>0.2</v>
      </c>
      <c r="D4" s="8">
        <f>'[1]Indicator Directory'!$N$4</f>
        <v>0.2</v>
      </c>
      <c r="E4" s="8">
        <f>'[1]Indicator Directory'!$N$4</f>
        <v>0.2</v>
      </c>
      <c r="F4" s="8">
        <f>'[1]Indicator Directory'!$N$4</f>
        <v>0.2</v>
      </c>
      <c r="G4" s="8">
        <f>'[1]Indicator Directory'!$N$4</f>
        <v>0.2</v>
      </c>
      <c r="H4" s="8">
        <f>'[1]Indicator Directory'!$N$4</f>
        <v>0.2</v>
      </c>
      <c r="I4" s="8">
        <f>'[1]Indicator Directory'!$N$4</f>
        <v>0.2</v>
      </c>
      <c r="J4" s="8">
        <f>'[1]Indicator Directory'!$N$4</f>
        <v>0.2</v>
      </c>
      <c r="K4" s="8"/>
      <c r="L4" s="8"/>
      <c r="M4" s="8">
        <f>'[1]Indicator Directory'!$O$4</f>
        <v>0.2</v>
      </c>
      <c r="N4" s="8">
        <f>'[1]Indicator Directory'!$O$4</f>
        <v>0.2</v>
      </c>
      <c r="O4" s="8"/>
      <c r="P4" s="8"/>
      <c r="Q4" s="8"/>
      <c r="R4" s="8"/>
      <c r="S4" s="8">
        <f>'[1]Indicator Directory'!$O$4</f>
        <v>0.2</v>
      </c>
      <c r="T4" s="8"/>
      <c r="U4" s="8"/>
      <c r="V4" s="8">
        <f>'[1]Indicator Directory'!$O$4</f>
        <v>0.2</v>
      </c>
      <c r="W4" s="8"/>
      <c r="X4" s="8">
        <f>'[1]Indicator Directory'!$P$4</f>
        <v>0.2</v>
      </c>
      <c r="Y4" s="8"/>
      <c r="Z4" s="8"/>
      <c r="AA4" s="8"/>
      <c r="AB4" s="8"/>
    </row>
    <row r="5" spans="1:28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</sheetData>
  <conditionalFormatting sqref="A1:AB31">
    <cfRule type="cellIs" dxfId="3" priority="1" operator="between">
      <formula>0</formula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E3FB-22F0-5847-9F7F-6C7CF24CEBFE}">
  <dimension ref="A1:AB31"/>
  <sheetViews>
    <sheetView workbookViewId="0">
      <selection sqref="A1:AB31"/>
    </sheetView>
  </sheetViews>
  <sheetFormatPr baseColWidth="10" defaultRowHeight="16" x14ac:dyDescent="0.2"/>
  <sheetData>
    <row r="1" spans="1:28" x14ac:dyDescent="0.2">
      <c r="A1" s="8">
        <f>'[1]Indicator Directory'!$N$6</f>
        <v>1</v>
      </c>
      <c r="B1" s="8">
        <f>'[1]Indicator Directory'!$N$6</f>
        <v>1</v>
      </c>
      <c r="C1" s="8">
        <f>'[1]Indicator Directory'!$N$6</f>
        <v>1</v>
      </c>
      <c r="D1" s="8">
        <f>'[1]Indicator Directory'!$N$6</f>
        <v>1</v>
      </c>
      <c r="E1" s="8">
        <f>'[1]Indicator Directory'!$N$6</f>
        <v>1</v>
      </c>
      <c r="F1" s="8">
        <f>'[1]Indicator Directory'!$N$6</f>
        <v>1</v>
      </c>
      <c r="G1" s="8">
        <f>'[1]Indicator Directory'!$N$6</f>
        <v>1</v>
      </c>
      <c r="H1" s="8">
        <f>'[1]Indicator Directory'!$N$6</f>
        <v>1</v>
      </c>
      <c r="I1" s="8">
        <f>'[1]Indicator Directory'!$N$6</f>
        <v>1</v>
      </c>
      <c r="J1" s="8">
        <f>'[1]Indicator Directory'!$N$6</f>
        <v>1</v>
      </c>
      <c r="K1" s="8">
        <f>'[1]Indicator Directory'!$N$6</f>
        <v>1</v>
      </c>
      <c r="L1" s="8">
        <f>'[1]Indicator Directory'!$N$6</f>
        <v>1</v>
      </c>
      <c r="M1" s="8">
        <f>'[1]Indicator Directory'!$O$6</f>
        <v>1</v>
      </c>
      <c r="N1" s="8">
        <f>'[1]Indicator Directory'!$O$6</f>
        <v>1</v>
      </c>
      <c r="O1" s="8"/>
      <c r="P1" s="8"/>
      <c r="Q1" s="8"/>
      <c r="R1" s="8">
        <f>'[1]Indicator Directory'!$O$6</f>
        <v>1</v>
      </c>
      <c r="S1" s="8">
        <f>'[1]Indicator Directory'!$O$6</f>
        <v>1</v>
      </c>
      <c r="T1" s="8">
        <f>'[1]Indicator Directory'!$O$6</f>
        <v>1</v>
      </c>
      <c r="U1" s="8">
        <f>'[1]Indicator Directory'!$O$6</f>
        <v>1</v>
      </c>
      <c r="V1" s="8">
        <f>'[1]Indicator Directory'!$O$6</f>
        <v>1</v>
      </c>
      <c r="W1" s="8"/>
      <c r="X1" s="8">
        <f>'[1]Indicator Directory'!$P$6</f>
        <v>1</v>
      </c>
      <c r="Y1" s="8">
        <f>'[1]Indicator Directory'!$P$6</f>
        <v>1</v>
      </c>
      <c r="Z1" s="8">
        <f>'[1]Indicator Directory'!$P$6</f>
        <v>1</v>
      </c>
      <c r="AA1" s="8">
        <f>'[1]Indicator Directory'!$P$6</f>
        <v>1</v>
      </c>
      <c r="AB1" s="8">
        <f>'[1]Indicator Directory'!$P$6</f>
        <v>1</v>
      </c>
    </row>
    <row r="2" spans="1:28" x14ac:dyDescent="0.2">
      <c r="A2" s="8">
        <f>'[1]Indicator Directory'!$N$6</f>
        <v>1</v>
      </c>
      <c r="B2" s="8">
        <f>'[1]Indicator Directory'!$N$6</f>
        <v>1</v>
      </c>
      <c r="C2" s="8">
        <f>'[1]Indicator Directory'!$N$6</f>
        <v>1</v>
      </c>
      <c r="D2" s="8">
        <f>'[1]Indicator Directory'!$N$6</f>
        <v>1</v>
      </c>
      <c r="E2" s="8">
        <f>'[1]Indicator Directory'!$N$6</f>
        <v>1</v>
      </c>
      <c r="F2" s="8">
        <f>'[1]Indicator Directory'!$N$6</f>
        <v>1</v>
      </c>
      <c r="G2" s="8">
        <f>'[1]Indicator Directory'!$N$6</f>
        <v>1</v>
      </c>
      <c r="H2" s="8">
        <f>'[1]Indicator Directory'!$N$6</f>
        <v>1</v>
      </c>
      <c r="I2" s="8">
        <f>'[1]Indicator Directory'!$N$6</f>
        <v>1</v>
      </c>
      <c r="J2" s="8">
        <f>'[1]Indicator Directory'!$N$6</f>
        <v>1</v>
      </c>
      <c r="K2" s="8">
        <f>'[1]Indicator Directory'!$N$6</f>
        <v>1</v>
      </c>
      <c r="L2" s="8">
        <f>'[1]Indicator Directory'!$N$6</f>
        <v>1</v>
      </c>
      <c r="M2" s="8">
        <f>'[1]Indicator Directory'!$O$6</f>
        <v>1</v>
      </c>
      <c r="N2" s="8">
        <f>'[1]Indicator Directory'!$O$6</f>
        <v>1</v>
      </c>
      <c r="O2" s="8"/>
      <c r="P2" s="8"/>
      <c r="Q2" s="8"/>
      <c r="R2" s="8">
        <f>'[1]Indicator Directory'!$O$6</f>
        <v>1</v>
      </c>
      <c r="S2" s="8">
        <f>'[1]Indicator Directory'!$O$6</f>
        <v>1</v>
      </c>
      <c r="T2" s="8">
        <f>'[1]Indicator Directory'!$O$6</f>
        <v>1</v>
      </c>
      <c r="U2" s="8">
        <f>'[1]Indicator Directory'!$O$6</f>
        <v>1</v>
      </c>
      <c r="V2" s="8">
        <f>'[1]Indicator Directory'!$O$6</f>
        <v>1</v>
      </c>
      <c r="W2" s="8"/>
      <c r="X2" s="8">
        <f>'[1]Indicator Directory'!$P$6</f>
        <v>1</v>
      </c>
      <c r="Y2" s="8">
        <f>'[1]Indicator Directory'!$P$6</f>
        <v>1</v>
      </c>
      <c r="Z2" s="8">
        <f>'[1]Indicator Directory'!$P$6</f>
        <v>1</v>
      </c>
      <c r="AA2" s="8">
        <f>'[1]Indicator Directory'!$P$6</f>
        <v>1</v>
      </c>
      <c r="AB2" s="8">
        <f>'[1]Indicator Directory'!$P$6</f>
        <v>1</v>
      </c>
    </row>
    <row r="3" spans="1:28" x14ac:dyDescent="0.2">
      <c r="A3" s="8">
        <f>'[1]Indicator Directory'!$N$6</f>
        <v>1</v>
      </c>
      <c r="B3" s="8">
        <f>'[1]Indicator Directory'!$N$6</f>
        <v>1</v>
      </c>
      <c r="C3" s="8">
        <f>'[1]Indicator Directory'!$N$6</f>
        <v>1</v>
      </c>
      <c r="D3" s="8">
        <f>'[1]Indicator Directory'!$N$6</f>
        <v>1</v>
      </c>
      <c r="E3" s="8">
        <f>'[1]Indicator Directory'!$N$6</f>
        <v>1</v>
      </c>
      <c r="F3" s="8">
        <f>'[1]Indicator Directory'!$N$6</f>
        <v>1</v>
      </c>
      <c r="G3" s="8">
        <f>'[1]Indicator Directory'!$N$6</f>
        <v>1</v>
      </c>
      <c r="H3" s="8">
        <f>'[1]Indicator Directory'!$N$6</f>
        <v>1</v>
      </c>
      <c r="I3" s="8">
        <f>'[1]Indicator Directory'!$N$6</f>
        <v>1</v>
      </c>
      <c r="J3" s="8">
        <f>'[1]Indicator Directory'!$N$6</f>
        <v>1</v>
      </c>
      <c r="K3" s="8">
        <f>'[1]Indicator Directory'!$N$6</f>
        <v>1</v>
      </c>
      <c r="L3" s="8">
        <f>'[1]Indicator Directory'!$N$6</f>
        <v>1</v>
      </c>
      <c r="M3" s="8">
        <f>'[1]Indicator Directory'!$O$6</f>
        <v>1</v>
      </c>
      <c r="N3" s="8">
        <f>'[1]Indicator Directory'!$O$6</f>
        <v>1</v>
      </c>
      <c r="O3" s="8"/>
      <c r="P3" s="8"/>
      <c r="Q3" s="8"/>
      <c r="R3" s="8">
        <f>'[1]Indicator Directory'!$O$6</f>
        <v>1</v>
      </c>
      <c r="S3" s="8">
        <f>'[1]Indicator Directory'!$O$6</f>
        <v>1</v>
      </c>
      <c r="T3" s="8">
        <f>'[1]Indicator Directory'!$O$6</f>
        <v>1</v>
      </c>
      <c r="U3" s="8">
        <f>'[1]Indicator Directory'!$O$6</f>
        <v>1</v>
      </c>
      <c r="V3" s="8">
        <f>'[1]Indicator Directory'!$O$6</f>
        <v>1</v>
      </c>
      <c r="W3" s="8"/>
      <c r="X3" s="8">
        <f>'[1]Indicator Directory'!$P$6</f>
        <v>1</v>
      </c>
      <c r="Y3" s="8">
        <f>'[1]Indicator Directory'!$P$6</f>
        <v>1</v>
      </c>
      <c r="Z3" s="8">
        <f>'[1]Indicator Directory'!$P$6</f>
        <v>1</v>
      </c>
      <c r="AA3" s="8">
        <f>'[1]Indicator Directory'!$P$6</f>
        <v>1</v>
      </c>
      <c r="AB3" s="8">
        <f>'[1]Indicator Directory'!$P$6</f>
        <v>1</v>
      </c>
    </row>
    <row r="4" spans="1:28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</sheetData>
  <conditionalFormatting sqref="A1:AB31">
    <cfRule type="cellIs" dxfId="2" priority="1" operator="between">
      <formula>0</formula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5398-61E1-4D45-B956-237B8232C69C}">
  <dimension ref="A1:AB31"/>
  <sheetViews>
    <sheetView topLeftCell="D1" workbookViewId="0">
      <selection activeCell="AB22" sqref="AB22"/>
    </sheetView>
  </sheetViews>
  <sheetFormatPr baseColWidth="10" defaultRowHeight="16" x14ac:dyDescent="0.2"/>
  <sheetData>
    <row r="1" spans="1:28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f>'[1]Indicator Directory'!$P$8</f>
        <v>1</v>
      </c>
      <c r="Y18" s="8">
        <f>'[1]Indicator Directory'!$P$8</f>
        <v>1</v>
      </c>
      <c r="Z18" s="8">
        <f>'[1]Indicator Directory'!$P$8</f>
        <v>1</v>
      </c>
      <c r="AA18" s="8">
        <f>'[1]Indicator Directory'!$P$8</f>
        <v>1</v>
      </c>
      <c r="AB18" s="8">
        <f>'[1]Indicator Directory'!$P$8</f>
        <v>1</v>
      </c>
    </row>
    <row r="19" spans="1:28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f>'[1]Indicator Directory'!$P$8</f>
        <v>1</v>
      </c>
      <c r="Y19" s="8">
        <f>'[1]Indicator Directory'!$P$8</f>
        <v>1</v>
      </c>
      <c r="Z19" s="8">
        <f>'[1]Indicator Directory'!$P$8</f>
        <v>1</v>
      </c>
      <c r="AA19" s="8">
        <f>'[1]Indicator Directory'!$P$8</f>
        <v>1</v>
      </c>
      <c r="AB19" s="8">
        <f>'[1]Indicator Directory'!$P$8</f>
        <v>1</v>
      </c>
    </row>
    <row r="20" spans="1:28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f>'[1]Indicator Directory'!$P$8</f>
        <v>1</v>
      </c>
      <c r="Y20" s="8">
        <f>'[1]Indicator Directory'!$P$8</f>
        <v>1</v>
      </c>
      <c r="Z20" s="8">
        <f>'[1]Indicator Directory'!$P$8</f>
        <v>1</v>
      </c>
      <c r="AA20" s="8">
        <f>'[1]Indicator Directory'!$P$8</f>
        <v>1</v>
      </c>
      <c r="AB20" s="8">
        <f>'[1]Indicator Directory'!$P$8</f>
        <v>1</v>
      </c>
    </row>
    <row r="21" spans="1:28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v>1</v>
      </c>
      <c r="N21" s="8">
        <v>1</v>
      </c>
      <c r="O21" s="8">
        <v>1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1</v>
      </c>
      <c r="V21" s="8">
        <v>1</v>
      </c>
      <c r="W21" s="8">
        <v>1</v>
      </c>
      <c r="X21" s="8">
        <f>'[1]Indicator Directory'!$P$8</f>
        <v>1</v>
      </c>
      <c r="Y21" s="8">
        <f>'[1]Indicator Directory'!$P$8</f>
        <v>1</v>
      </c>
      <c r="Z21" s="8">
        <f>'[1]Indicator Directory'!$P$8</f>
        <v>1</v>
      </c>
      <c r="AA21" s="8">
        <f>'[1]Indicator Directory'!$P$8</f>
        <v>1</v>
      </c>
      <c r="AB21" s="8">
        <f>'[1]Indicator Directory'!$P$8</f>
        <v>1</v>
      </c>
    </row>
    <row r="22" spans="1:28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>
        <v>1</v>
      </c>
      <c r="N22" s="8">
        <v>1</v>
      </c>
      <c r="O22" s="8">
        <v>1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8">
        <v>1</v>
      </c>
      <c r="X22" s="8">
        <f>'[1]Indicator Directory'!$P$8</f>
        <v>1</v>
      </c>
      <c r="Y22" s="8">
        <f>'[1]Indicator Directory'!$P$8</f>
        <v>1</v>
      </c>
      <c r="Z22" s="8">
        <f>'[1]Indicator Directory'!$P$8</f>
        <v>1</v>
      </c>
      <c r="AA22" s="8">
        <f>'[1]Indicator Directory'!$P$8</f>
        <v>1</v>
      </c>
      <c r="AB22" s="8">
        <f>'[1]Indicator Directory'!$P$8</f>
        <v>1</v>
      </c>
    </row>
    <row r="23" spans="1:28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</sheetData>
  <conditionalFormatting sqref="A1:AB31">
    <cfRule type="cellIs" dxfId="1" priority="1" operator="between">
      <formula>0</formula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03D5-D735-914B-9A48-6664BEFCA421}">
  <dimension ref="A1:AB31"/>
  <sheetViews>
    <sheetView topLeftCell="I1" workbookViewId="0">
      <selection activeCell="X4" sqref="X4"/>
    </sheetView>
  </sheetViews>
  <sheetFormatPr baseColWidth="10" defaultRowHeight="16" x14ac:dyDescent="0.2"/>
  <sheetData>
    <row r="1" spans="1:28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">
      <c r="A4" s="8"/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/>
      <c r="L4" s="8"/>
      <c r="M4" s="8">
        <v>1</v>
      </c>
      <c r="N4" s="8">
        <v>1</v>
      </c>
      <c r="O4" s="8"/>
      <c r="P4" s="8"/>
      <c r="Q4" s="8"/>
      <c r="R4" s="8"/>
      <c r="S4" s="8">
        <v>1</v>
      </c>
      <c r="T4" s="8"/>
      <c r="U4" s="8"/>
      <c r="V4" s="8">
        <v>1</v>
      </c>
      <c r="W4" s="8"/>
      <c r="X4" s="8">
        <f>'[1]Indicator Directory'!$P$4</f>
        <v>0.2</v>
      </c>
      <c r="Y4" s="8"/>
      <c r="Z4" s="8"/>
      <c r="AA4" s="8"/>
      <c r="AB4" s="8"/>
    </row>
    <row r="5" spans="1:28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</sheetData>
  <conditionalFormatting sqref="A1:AB31">
    <cfRule type="cellIs" dxfId="0" priority="1" operator="between">
      <formula>0</formula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65E1-3A84-604B-A272-91228C8AEC04}">
  <dimension ref="A1:A23"/>
  <sheetViews>
    <sheetView workbookViewId="0"/>
  </sheetViews>
  <sheetFormatPr baseColWidth="10" defaultRowHeight="16" x14ac:dyDescent="0.2"/>
  <sheetData>
    <row r="1" spans="1:1" x14ac:dyDescent="0.2">
      <c r="A1" s="10"/>
    </row>
    <row r="2" spans="1:1" x14ac:dyDescent="0.2">
      <c r="A2" s="10"/>
    </row>
    <row r="3" spans="1:1" x14ac:dyDescent="0.2">
      <c r="A3" s="10"/>
    </row>
    <row r="4" spans="1:1" x14ac:dyDescent="0.2">
      <c r="A4" s="10"/>
    </row>
    <row r="5" spans="1:1" x14ac:dyDescent="0.2">
      <c r="A5" s="10"/>
    </row>
    <row r="6" spans="1:1" x14ac:dyDescent="0.2">
      <c r="A6" s="10"/>
    </row>
    <row r="7" spans="1:1" x14ac:dyDescent="0.2">
      <c r="A7" s="10"/>
    </row>
    <row r="8" spans="1:1" x14ac:dyDescent="0.2">
      <c r="A8" s="10"/>
    </row>
    <row r="9" spans="1:1" x14ac:dyDescent="0.2">
      <c r="A9" s="10"/>
    </row>
    <row r="10" spans="1:1" x14ac:dyDescent="0.2">
      <c r="A10" s="10"/>
    </row>
    <row r="11" spans="1:1" x14ac:dyDescent="0.2">
      <c r="A11" s="10"/>
    </row>
    <row r="12" spans="1:1" x14ac:dyDescent="0.2">
      <c r="A12" s="10"/>
    </row>
    <row r="13" spans="1:1" x14ac:dyDescent="0.2">
      <c r="A13" s="10"/>
    </row>
    <row r="14" spans="1:1" x14ac:dyDescent="0.2">
      <c r="A14" s="10"/>
    </row>
    <row r="15" spans="1:1" x14ac:dyDescent="0.2">
      <c r="A15" s="10"/>
    </row>
    <row r="16" spans="1:1" x14ac:dyDescent="0.2">
      <c r="A16" s="10"/>
    </row>
    <row r="17" spans="1:1" x14ac:dyDescent="0.2">
      <c r="A17" s="10"/>
    </row>
    <row r="18" spans="1:1" x14ac:dyDescent="0.2">
      <c r="A18" s="10"/>
    </row>
    <row r="19" spans="1:1" x14ac:dyDescent="0.2">
      <c r="A19" s="10"/>
    </row>
    <row r="20" spans="1:1" x14ac:dyDescent="0.2">
      <c r="A20" s="10"/>
    </row>
    <row r="21" spans="1:1" x14ac:dyDescent="0.2">
      <c r="A21" s="11"/>
    </row>
    <row r="22" spans="1:1" x14ac:dyDescent="0.2">
      <c r="A22" s="12"/>
    </row>
    <row r="23" spans="1:1" x14ac:dyDescent="0.2">
      <c r="A23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F29B-D5EF-CC4A-B764-FBD92FEDD0E4}">
  <dimension ref="A1:A23"/>
  <sheetViews>
    <sheetView workbookViewId="0">
      <selection sqref="A1:A23"/>
    </sheetView>
  </sheetViews>
  <sheetFormatPr baseColWidth="10" defaultRowHeight="16" x14ac:dyDescent="0.2"/>
  <sheetData>
    <row r="1" spans="1:1" x14ac:dyDescent="0.2">
      <c r="A1">
        <v>42.758620689655174</v>
      </c>
    </row>
    <row r="2" spans="1:1" x14ac:dyDescent="0.2">
      <c r="A2">
        <v>42.758620689655174</v>
      </c>
    </row>
    <row r="3" spans="1:1" x14ac:dyDescent="0.2">
      <c r="A3">
        <v>45.287356321839077</v>
      </c>
    </row>
    <row r="4" spans="1:1" x14ac:dyDescent="0.2">
      <c r="A4">
        <v>46.896551724137929</v>
      </c>
    </row>
    <row r="5" spans="1:1" x14ac:dyDescent="0.2">
      <c r="A5">
        <v>47.586206896551722</v>
      </c>
    </row>
    <row r="6" spans="1:1" x14ac:dyDescent="0.2">
      <c r="A6">
        <v>50.206896551724135</v>
      </c>
    </row>
    <row r="7" spans="1:1" x14ac:dyDescent="0.2">
      <c r="A7">
        <v>52.827586206896555</v>
      </c>
    </row>
    <row r="8" spans="1:1" x14ac:dyDescent="0.2">
      <c r="A8">
        <v>54.206896551724142</v>
      </c>
    </row>
    <row r="9" spans="1:1" x14ac:dyDescent="0.2">
      <c r="A9">
        <v>53.655172413793103</v>
      </c>
    </row>
    <row r="10" spans="1:1" x14ac:dyDescent="0.2">
      <c r="A10">
        <v>53.931034482758619</v>
      </c>
    </row>
    <row r="11" spans="1:1" x14ac:dyDescent="0.2">
      <c r="A11">
        <v>52.965517241379303</v>
      </c>
    </row>
    <row r="12" spans="1:1" x14ac:dyDescent="0.2">
      <c r="A12">
        <v>53.517241379310349</v>
      </c>
    </row>
    <row r="13" spans="1:1" x14ac:dyDescent="0.2">
      <c r="A13">
        <v>55.862068965517246</v>
      </c>
    </row>
    <row r="14" spans="1:1" x14ac:dyDescent="0.2">
      <c r="A14">
        <v>60.689655172413794</v>
      </c>
    </row>
    <row r="15" spans="1:1" x14ac:dyDescent="0.2">
      <c r="A15">
        <v>62.764827586206899</v>
      </c>
    </row>
    <row r="16" spans="1:1" x14ac:dyDescent="0.2">
      <c r="A16">
        <v>65.237931034482756</v>
      </c>
    </row>
    <row r="17" spans="1:1" x14ac:dyDescent="0.2">
      <c r="A17">
        <v>66.573793103448281</v>
      </c>
    </row>
    <row r="18" spans="1:1" x14ac:dyDescent="0.2">
      <c r="A18">
        <v>65.900689655172414</v>
      </c>
    </row>
    <row r="19" spans="1:1" x14ac:dyDescent="0.2">
      <c r="A19">
        <v>64.759999999999991</v>
      </c>
    </row>
    <row r="20" spans="1:1" x14ac:dyDescent="0.2">
      <c r="A20">
        <v>64.759999999999991</v>
      </c>
    </row>
    <row r="21" spans="1:1" x14ac:dyDescent="0.2">
      <c r="A21">
        <v>64.759999999999991</v>
      </c>
    </row>
    <row r="22" spans="1:1" x14ac:dyDescent="0.2">
      <c r="A22">
        <v>64.759999999999991</v>
      </c>
    </row>
    <row r="23" spans="1:1" x14ac:dyDescent="0.2">
      <c r="A23">
        <v>64.759999999999991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8034-E898-D64A-948E-57B2E446AB92}">
  <dimension ref="A1:A23"/>
  <sheetViews>
    <sheetView workbookViewId="0"/>
  </sheetViews>
  <sheetFormatPr baseColWidth="10" defaultRowHeight="16" x14ac:dyDescent="0.2"/>
  <sheetData>
    <row r="1" spans="1:1" x14ac:dyDescent="0.2">
      <c r="A1">
        <v>107.2</v>
      </c>
    </row>
    <row r="2" spans="1:1" x14ac:dyDescent="0.2">
      <c r="A2">
        <v>109.6</v>
      </c>
    </row>
    <row r="3" spans="1:1" x14ac:dyDescent="0.2">
      <c r="A3">
        <v>116</v>
      </c>
    </row>
    <row r="4" spans="1:1" x14ac:dyDescent="0.2">
      <c r="A4">
        <v>135.4</v>
      </c>
    </row>
    <row r="5" spans="1:1" x14ac:dyDescent="0.2">
      <c r="A5">
        <v>138.4</v>
      </c>
    </row>
    <row r="6" spans="1:1" x14ac:dyDescent="0.2">
      <c r="A6">
        <v>143.80000000000001</v>
      </c>
    </row>
    <row r="7" spans="1:1" x14ac:dyDescent="0.2">
      <c r="A7">
        <v>150</v>
      </c>
    </row>
    <row r="8" spans="1:1" x14ac:dyDescent="0.2">
      <c r="A8">
        <v>151</v>
      </c>
    </row>
    <row r="9" spans="1:1" x14ac:dyDescent="0.2">
      <c r="A9">
        <v>146.6</v>
      </c>
    </row>
    <row r="10" spans="1:1" x14ac:dyDescent="0.2">
      <c r="A10">
        <v>147.19999999999999</v>
      </c>
    </row>
    <row r="11" spans="1:1" x14ac:dyDescent="0.2">
      <c r="A11">
        <v>146.4</v>
      </c>
    </row>
    <row r="12" spans="1:1" x14ac:dyDescent="0.2">
      <c r="A12">
        <v>144</v>
      </c>
    </row>
    <row r="13" spans="1:1" x14ac:dyDescent="0.2">
      <c r="A13">
        <v>144.19999999999999</v>
      </c>
    </row>
    <row r="14" spans="1:1" x14ac:dyDescent="0.2">
      <c r="A14">
        <v>148</v>
      </c>
    </row>
    <row r="15" spans="1:1" x14ac:dyDescent="0.2">
      <c r="A15">
        <v>148.6</v>
      </c>
    </row>
    <row r="16" spans="1:1" x14ac:dyDescent="0.2">
      <c r="A16">
        <v>148.6</v>
      </c>
    </row>
    <row r="17" spans="1:1" x14ac:dyDescent="0.2">
      <c r="A17">
        <v>148.6</v>
      </c>
    </row>
    <row r="18" spans="1:1" x14ac:dyDescent="0.2">
      <c r="A18">
        <v>148.6</v>
      </c>
    </row>
    <row r="19" spans="1:1" x14ac:dyDescent="0.2">
      <c r="A19">
        <v>148.6</v>
      </c>
    </row>
    <row r="20" spans="1:1" x14ac:dyDescent="0.2">
      <c r="A20">
        <v>148.6</v>
      </c>
    </row>
    <row r="21" spans="1:1" x14ac:dyDescent="0.2">
      <c r="A21">
        <v>148.6</v>
      </c>
    </row>
    <row r="22" spans="1:1" x14ac:dyDescent="0.2">
      <c r="A22">
        <v>148.6</v>
      </c>
    </row>
    <row r="23" spans="1:1" x14ac:dyDescent="0.2">
      <c r="A23">
        <v>148.6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0721-EB4B-2645-B8CA-3E81767646AF}">
  <dimension ref="A1:A23"/>
  <sheetViews>
    <sheetView workbookViewId="0">
      <selection sqref="A1:A23"/>
    </sheetView>
  </sheetViews>
  <sheetFormatPr baseColWidth="10" defaultRowHeight="16" x14ac:dyDescent="0.2"/>
  <sheetData>
    <row r="1" spans="1:1" x14ac:dyDescent="0.2">
      <c r="A1">
        <v>132.46986142</v>
      </c>
    </row>
    <row r="2" spans="1:1" x14ac:dyDescent="0.2">
      <c r="A2">
        <v>133.60604135</v>
      </c>
    </row>
    <row r="3" spans="1:1" x14ac:dyDescent="0.2">
      <c r="A3">
        <v>134.95448860000002</v>
      </c>
    </row>
    <row r="4" spans="1:1" x14ac:dyDescent="0.2">
      <c r="A4">
        <v>137.02497961</v>
      </c>
    </row>
    <row r="5" spans="1:1" x14ac:dyDescent="0.2">
      <c r="A5">
        <v>139.64363444</v>
      </c>
    </row>
    <row r="6" spans="1:1" x14ac:dyDescent="0.2">
      <c r="A6">
        <v>142.3495193</v>
      </c>
    </row>
    <row r="7" spans="1:1" x14ac:dyDescent="0.2">
      <c r="A7">
        <v>144.74634116000001</v>
      </c>
    </row>
    <row r="8" spans="1:1" x14ac:dyDescent="0.2">
      <c r="A8">
        <v>146.88301660000002</v>
      </c>
    </row>
    <row r="9" spans="1:1" x14ac:dyDescent="0.2">
      <c r="A9">
        <v>148.42388663</v>
      </c>
    </row>
    <row r="10" spans="1:1" x14ac:dyDescent="0.2">
      <c r="A10">
        <v>149.45997739000001</v>
      </c>
    </row>
    <row r="11" spans="1:1" x14ac:dyDescent="0.2">
      <c r="A11">
        <v>150.58501679</v>
      </c>
    </row>
    <row r="12" spans="1:1" x14ac:dyDescent="0.2">
      <c r="A12">
        <v>152.44011767000001</v>
      </c>
    </row>
    <row r="13" spans="1:1" x14ac:dyDescent="0.2">
      <c r="A13">
        <v>155.51575167999999</v>
      </c>
    </row>
    <row r="14" spans="1:1" x14ac:dyDescent="0.2">
      <c r="A14">
        <v>159.13625779</v>
      </c>
    </row>
    <row r="15" spans="1:1" x14ac:dyDescent="0.2">
      <c r="A15">
        <v>162.35664851000001</v>
      </c>
    </row>
    <row r="16" spans="1:1" x14ac:dyDescent="0.2">
      <c r="A16">
        <v>164.05692567</v>
      </c>
    </row>
    <row r="17" spans="1:1" x14ac:dyDescent="0.2">
      <c r="A17">
        <v>164.0534572</v>
      </c>
    </row>
    <row r="18" spans="1:1" x14ac:dyDescent="0.2">
      <c r="A18">
        <v>162.98022255000001</v>
      </c>
    </row>
    <row r="19" spans="1:1" x14ac:dyDescent="0.2">
      <c r="A19">
        <v>161.45662736</v>
      </c>
    </row>
    <row r="20" spans="1:1" x14ac:dyDescent="0.2">
      <c r="A20">
        <v>160.09108655</v>
      </c>
    </row>
    <row r="21" spans="1:1" x14ac:dyDescent="0.2">
      <c r="A21">
        <v>159.18567546</v>
      </c>
    </row>
    <row r="22" spans="1:1" x14ac:dyDescent="0.2">
      <c r="A22">
        <v>158.68729129000002</v>
      </c>
    </row>
    <row r="23" spans="1:1" x14ac:dyDescent="0.2">
      <c r="A23">
        <v>158.36486153999999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A496-6FAB-1149-A90E-F3A257F54AF7}">
  <dimension ref="A1:AM24"/>
  <sheetViews>
    <sheetView tabSelected="1" workbookViewId="0">
      <selection activeCell="H2" sqref="H2:H24"/>
    </sheetView>
  </sheetViews>
  <sheetFormatPr baseColWidth="10" defaultRowHeight="16" x14ac:dyDescent="0.2"/>
  <cols>
    <col min="1" max="1" width="10.83203125" style="13"/>
  </cols>
  <sheetData>
    <row r="1" spans="1:39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</row>
    <row r="2" spans="1:39" x14ac:dyDescent="0.2">
      <c r="A2" s="13">
        <v>2000</v>
      </c>
      <c r="B2">
        <v>42.758620689655174</v>
      </c>
      <c r="C2">
        <v>107.2</v>
      </c>
      <c r="D2">
        <v>132.46986142</v>
      </c>
      <c r="E2">
        <v>1.1679999999999999</v>
      </c>
      <c r="F2">
        <v>0.68025078369905956</v>
      </c>
      <c r="G2">
        <v>17.974</v>
      </c>
      <c r="H2">
        <v>26.797385620915033</v>
      </c>
    </row>
    <row r="3" spans="1:39" x14ac:dyDescent="0.2">
      <c r="A3" s="13">
        <v>2001</v>
      </c>
      <c r="B3">
        <v>42.758620689655174</v>
      </c>
      <c r="C3">
        <v>109.6</v>
      </c>
      <c r="D3">
        <v>133.60604135</v>
      </c>
      <c r="E3">
        <v>1.1639999999999999</v>
      </c>
      <c r="F3">
        <v>0.68025078369905956</v>
      </c>
      <c r="G3">
        <v>17.974</v>
      </c>
      <c r="H3">
        <v>28.75816993464052</v>
      </c>
    </row>
    <row r="4" spans="1:39" x14ac:dyDescent="0.2">
      <c r="A4" s="13">
        <v>2002</v>
      </c>
      <c r="B4">
        <v>45.287356321839077</v>
      </c>
      <c r="C4">
        <v>116</v>
      </c>
      <c r="D4">
        <v>134.95448860000002</v>
      </c>
      <c r="E4">
        <v>1.159</v>
      </c>
      <c r="F4">
        <v>0.68025078369905956</v>
      </c>
      <c r="G4">
        <v>17.974</v>
      </c>
      <c r="H4">
        <v>29.411764705882355</v>
      </c>
    </row>
    <row r="5" spans="1:39" x14ac:dyDescent="0.2">
      <c r="A5" s="13">
        <v>2003</v>
      </c>
      <c r="B5">
        <v>46.896551724137929</v>
      </c>
      <c r="C5">
        <v>135.4</v>
      </c>
      <c r="D5">
        <v>137.02497961</v>
      </c>
      <c r="E5">
        <v>1.1499999999999999</v>
      </c>
      <c r="F5">
        <v>0.68025078369905956</v>
      </c>
      <c r="G5">
        <v>17.974</v>
      </c>
      <c r="H5">
        <v>31.372549019607842</v>
      </c>
    </row>
    <row r="6" spans="1:39" x14ac:dyDescent="0.2">
      <c r="A6" s="13">
        <v>2004</v>
      </c>
      <c r="B6">
        <v>47.586206896551722</v>
      </c>
      <c r="C6">
        <v>138.4</v>
      </c>
      <c r="D6">
        <v>139.64363444</v>
      </c>
      <c r="E6">
        <v>1.141</v>
      </c>
      <c r="F6">
        <v>0.68025078369905956</v>
      </c>
      <c r="G6">
        <v>17.974</v>
      </c>
      <c r="H6">
        <v>28.104575163398692</v>
      </c>
    </row>
    <row r="7" spans="1:39" x14ac:dyDescent="0.2">
      <c r="A7" s="13">
        <v>2005</v>
      </c>
      <c r="B7">
        <v>50.206896551724135</v>
      </c>
      <c r="C7">
        <v>143.80000000000001</v>
      </c>
      <c r="D7">
        <v>142.3495193</v>
      </c>
      <c r="E7">
        <v>1.1180000000000001</v>
      </c>
      <c r="F7">
        <v>0.68025078369905956</v>
      </c>
      <c r="G7">
        <v>17.974</v>
      </c>
      <c r="H7">
        <v>30.065359477124183</v>
      </c>
    </row>
    <row r="8" spans="1:39" x14ac:dyDescent="0.2">
      <c r="A8" s="13">
        <v>2006</v>
      </c>
      <c r="B8">
        <v>52.827586206896555</v>
      </c>
      <c r="C8">
        <v>150</v>
      </c>
      <c r="D8">
        <v>144.74634116000001</v>
      </c>
      <c r="E8">
        <v>1.083</v>
      </c>
      <c r="F8">
        <v>0.67518808777429473</v>
      </c>
      <c r="G8">
        <v>17.974</v>
      </c>
      <c r="H8">
        <v>28.75816993464052</v>
      </c>
    </row>
    <row r="9" spans="1:39" x14ac:dyDescent="0.2">
      <c r="A9" s="13">
        <v>2007</v>
      </c>
      <c r="B9">
        <v>54.206896551724142</v>
      </c>
      <c r="C9">
        <v>151</v>
      </c>
      <c r="D9">
        <v>146.88301660000002</v>
      </c>
      <c r="E9">
        <v>1.0469999999999999</v>
      </c>
      <c r="F9">
        <v>0.67012539184952979</v>
      </c>
      <c r="G9">
        <v>20.433</v>
      </c>
      <c r="H9">
        <v>30.065359477124183</v>
      </c>
    </row>
    <row r="10" spans="1:39" x14ac:dyDescent="0.2">
      <c r="A10" s="13">
        <v>2008</v>
      </c>
      <c r="B10">
        <v>53.655172413793103</v>
      </c>
      <c r="C10">
        <v>146.6</v>
      </c>
      <c r="D10">
        <v>148.42388663</v>
      </c>
      <c r="E10">
        <v>1.018</v>
      </c>
      <c r="F10">
        <v>0.66506269592476486</v>
      </c>
      <c r="G10">
        <v>26.818000000000001</v>
      </c>
      <c r="H10">
        <v>30.065359477124183</v>
      </c>
    </row>
    <row r="11" spans="1:39" x14ac:dyDescent="0.2">
      <c r="A11" s="13">
        <v>2009</v>
      </c>
      <c r="B11">
        <v>53.931034482758619</v>
      </c>
      <c r="C11">
        <v>147.19999999999999</v>
      </c>
      <c r="D11">
        <v>149.45997739000001</v>
      </c>
      <c r="E11">
        <v>0.98299999999999998</v>
      </c>
      <c r="F11">
        <v>0.66</v>
      </c>
      <c r="G11">
        <v>26.244000000000003</v>
      </c>
      <c r="H11">
        <v>32.026143790849673</v>
      </c>
    </row>
    <row r="12" spans="1:39" x14ac:dyDescent="0.2">
      <c r="A12" s="13">
        <v>2010</v>
      </c>
      <c r="B12">
        <v>52.965517241379303</v>
      </c>
      <c r="C12">
        <v>146.4</v>
      </c>
      <c r="D12">
        <v>150.58501679</v>
      </c>
      <c r="E12">
        <v>0.94799999999999995</v>
      </c>
      <c r="F12">
        <v>0.70348837209302328</v>
      </c>
      <c r="G12">
        <v>22.684000000000001</v>
      </c>
      <c r="H12">
        <v>31.372549019607842</v>
      </c>
    </row>
    <row r="13" spans="1:39" x14ac:dyDescent="0.2">
      <c r="A13" s="13">
        <v>2011</v>
      </c>
      <c r="B13">
        <v>53.517241379310349</v>
      </c>
      <c r="C13">
        <v>144</v>
      </c>
      <c r="D13">
        <v>152.44011767000001</v>
      </c>
      <c r="E13">
        <v>0.92</v>
      </c>
      <c r="F13">
        <v>0.7168141592920354</v>
      </c>
      <c r="G13">
        <v>26.376000000000005</v>
      </c>
      <c r="H13">
        <v>32.679738562091501</v>
      </c>
    </row>
    <row r="14" spans="1:39" x14ac:dyDescent="0.2">
      <c r="A14" s="13">
        <v>2012</v>
      </c>
      <c r="B14">
        <v>55.862068965517246</v>
      </c>
      <c r="C14">
        <v>144.19999999999999</v>
      </c>
      <c r="D14">
        <v>155.51575167999999</v>
      </c>
      <c r="E14">
        <v>0.89600000000000002</v>
      </c>
      <c r="F14">
        <v>0.73652694610778446</v>
      </c>
      <c r="G14">
        <v>21.505000000000003</v>
      </c>
      <c r="H14">
        <v>32.679738562091501</v>
      </c>
    </row>
    <row r="15" spans="1:39" x14ac:dyDescent="0.2">
      <c r="A15" s="13">
        <v>2013</v>
      </c>
      <c r="B15">
        <v>60.689655172413794</v>
      </c>
      <c r="C15">
        <v>148</v>
      </c>
      <c r="D15">
        <v>159.13625779</v>
      </c>
      <c r="E15">
        <v>0.88</v>
      </c>
      <c r="F15">
        <v>0.73053892215568861</v>
      </c>
      <c r="G15">
        <v>27.956</v>
      </c>
      <c r="H15">
        <v>33.299999999999997</v>
      </c>
    </row>
    <row r="16" spans="1:39" x14ac:dyDescent="0.2">
      <c r="A16" s="13">
        <v>2014</v>
      </c>
      <c r="B16">
        <v>62.764827586206899</v>
      </c>
      <c r="C16">
        <v>148.6</v>
      </c>
      <c r="D16">
        <v>162.35664851000001</v>
      </c>
      <c r="E16">
        <v>0.877</v>
      </c>
      <c r="F16">
        <v>0.74550898203592819</v>
      </c>
      <c r="G16">
        <v>27.956</v>
      </c>
      <c r="H16">
        <v>34.6</v>
      </c>
    </row>
    <row r="17" spans="1:8" x14ac:dyDescent="0.2">
      <c r="A17" s="13">
        <v>2015</v>
      </c>
      <c r="B17">
        <v>65.237931034482756</v>
      </c>
      <c r="C17">
        <v>148.6</v>
      </c>
      <c r="D17">
        <v>164.05692567</v>
      </c>
      <c r="E17">
        <v>0.879</v>
      </c>
      <c r="F17">
        <v>0.75449101796407181</v>
      </c>
      <c r="G17">
        <v>27.956</v>
      </c>
      <c r="H17">
        <v>34</v>
      </c>
    </row>
    <row r="18" spans="1:8" x14ac:dyDescent="0.2">
      <c r="A18" s="13">
        <v>2016</v>
      </c>
      <c r="B18">
        <v>66.573793103448281</v>
      </c>
      <c r="C18">
        <v>148.6</v>
      </c>
      <c r="D18">
        <v>164.0534572</v>
      </c>
      <c r="E18">
        <v>0.89600000000000002</v>
      </c>
      <c r="F18">
        <v>0.75449101796407181</v>
      </c>
      <c r="G18">
        <v>27.956</v>
      </c>
      <c r="H18">
        <v>35.799999999999997</v>
      </c>
    </row>
    <row r="19" spans="1:8" x14ac:dyDescent="0.2">
      <c r="A19" s="13">
        <v>2017</v>
      </c>
      <c r="B19">
        <v>65.900689655172414</v>
      </c>
      <c r="C19">
        <v>148.6</v>
      </c>
      <c r="D19">
        <v>162.98022255000001</v>
      </c>
      <c r="E19">
        <v>0.90700000000000003</v>
      </c>
      <c r="F19">
        <v>0.75748502994011979</v>
      </c>
      <c r="G19">
        <v>27.956</v>
      </c>
      <c r="H19">
        <v>38.200000000000003</v>
      </c>
    </row>
    <row r="20" spans="1:8" x14ac:dyDescent="0.2">
      <c r="A20" s="13">
        <v>2018</v>
      </c>
      <c r="B20">
        <v>64.759999999999991</v>
      </c>
      <c r="C20">
        <v>148.6</v>
      </c>
      <c r="D20">
        <v>161.45662736</v>
      </c>
      <c r="E20">
        <v>0.90400000000000003</v>
      </c>
      <c r="F20">
        <v>0.75449101796407181</v>
      </c>
      <c r="G20">
        <v>27.956</v>
      </c>
      <c r="H20">
        <v>35.4</v>
      </c>
    </row>
    <row r="21" spans="1:8" x14ac:dyDescent="0.2">
      <c r="A21" s="13">
        <v>2019</v>
      </c>
      <c r="B21">
        <v>64.759999999999991</v>
      </c>
      <c r="C21">
        <v>148.6</v>
      </c>
      <c r="D21">
        <v>160.09108655</v>
      </c>
      <c r="E21">
        <v>0.89100000000000001</v>
      </c>
      <c r="F21">
        <v>0.75149700598802394</v>
      </c>
      <c r="G21">
        <v>27.956</v>
      </c>
      <c r="H21">
        <v>35.4</v>
      </c>
    </row>
    <row r="22" spans="1:8" x14ac:dyDescent="0.2">
      <c r="A22" s="13">
        <v>2020</v>
      </c>
      <c r="B22">
        <v>64.759999999999991</v>
      </c>
      <c r="C22">
        <v>148.6</v>
      </c>
      <c r="D22">
        <v>159.18567546</v>
      </c>
      <c r="E22">
        <v>0.86499999999999999</v>
      </c>
      <c r="F22">
        <v>0.74850299401197606</v>
      </c>
      <c r="G22">
        <v>27.956</v>
      </c>
      <c r="H22">
        <v>35.4</v>
      </c>
    </row>
    <row r="23" spans="1:8" x14ac:dyDescent="0.2">
      <c r="A23" s="13">
        <v>2021</v>
      </c>
      <c r="B23">
        <v>64.759999999999991</v>
      </c>
      <c r="C23">
        <v>148.6</v>
      </c>
      <c r="D23">
        <v>158.68729129000002</v>
      </c>
      <c r="E23">
        <v>0.84099999999999997</v>
      </c>
      <c r="F23">
        <v>0.74251497005988021</v>
      </c>
      <c r="G23">
        <v>27.956</v>
      </c>
      <c r="H23">
        <v>35.4</v>
      </c>
    </row>
    <row r="24" spans="1:8" x14ac:dyDescent="0.2">
      <c r="A24" s="13">
        <v>2022</v>
      </c>
      <c r="B24">
        <v>64.759999999999991</v>
      </c>
      <c r="C24">
        <v>148.6</v>
      </c>
      <c r="D24">
        <v>158.36486153999999</v>
      </c>
      <c r="E24">
        <v>0.82</v>
      </c>
      <c r="F24">
        <v>0.74029850746268655</v>
      </c>
      <c r="G24">
        <v>27.956</v>
      </c>
      <c r="H24">
        <v>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scot_indicator_directory</vt:lpstr>
      <vt:lpstr>orig_scot_cirm1_weights</vt:lpstr>
      <vt:lpstr>scot_ciwm2</vt:lpstr>
      <vt:lpstr>scot_cirm3</vt:lpstr>
      <vt:lpstr>Sheet3</vt:lpstr>
      <vt:lpstr>scot_ci1_stbi</vt:lpstr>
      <vt:lpstr>Sheet10</vt:lpstr>
      <vt:lpstr>scot_ci2_stbi</vt:lpstr>
      <vt:lpstr>scot_ci3_stbi</vt:lpstr>
      <vt:lpstr>scot_year_ci_matrix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O'Hara</dc:creator>
  <cp:lastModifiedBy>Kate O'Hara</cp:lastModifiedBy>
  <dcterms:created xsi:type="dcterms:W3CDTF">2025-12-08T08:27:15Z</dcterms:created>
  <dcterms:modified xsi:type="dcterms:W3CDTF">2025-12-09T15:18:05Z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a6db5-9f3a-4c93-9e38-61059ee07e95_Enabled">
    <vt:lpwstr>true</vt:lpwstr>
  </property>
  <property fmtid="{D5CDD505-2E9C-101B-9397-08002B2CF9AE}" pid="3" name="MSIP_Label_d6fa6db5-9f3a-4c93-9e38-61059ee07e95_SetDate">
    <vt:lpwstr>2025-12-08T10:14:49Z</vt:lpwstr>
  </property>
  <property fmtid="{D5CDD505-2E9C-101B-9397-08002B2CF9AE}" pid="4" name="MSIP_Label_d6fa6db5-9f3a-4c93-9e38-61059ee07e95_Method">
    <vt:lpwstr>Standard</vt:lpwstr>
  </property>
  <property fmtid="{D5CDD505-2E9C-101B-9397-08002B2CF9AE}" pid="5" name="MSIP_Label_d6fa6db5-9f3a-4c93-9e38-61059ee07e95_Name">
    <vt:lpwstr>Internal</vt:lpwstr>
  </property>
  <property fmtid="{D5CDD505-2E9C-101B-9397-08002B2CF9AE}" pid="6" name="MSIP_Label_d6fa6db5-9f3a-4c93-9e38-61059ee07e95_SiteId">
    <vt:lpwstr>4e8d09f7-cc79-4ccb-9149-a4238dd17422</vt:lpwstr>
  </property>
  <property fmtid="{D5CDD505-2E9C-101B-9397-08002B2CF9AE}" pid="7" name="MSIP_Label_d6fa6db5-9f3a-4c93-9e38-61059ee07e95_ActionId">
    <vt:lpwstr>8a4355da-3a47-42a1-ae48-57109eb0f037</vt:lpwstr>
  </property>
  <property fmtid="{D5CDD505-2E9C-101B-9397-08002B2CF9AE}" pid="8" name="MSIP_Label_d6fa6db5-9f3a-4c93-9e38-61059ee07e95_ContentBits">
    <vt:lpwstr>0</vt:lpwstr>
  </property>
  <property fmtid="{D5CDD505-2E9C-101B-9397-08002B2CF9AE}" pid="9" name="MSIP_Label_d6fa6db5-9f3a-4c93-9e38-61059ee07e95_Tag">
    <vt:lpwstr>50, 3, 0, 1</vt:lpwstr>
  </property>
</Properties>
</file>